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drawings/drawing2.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drawings/drawing3.xml" ContentType="application/vnd.openxmlformats-officedocument.drawing+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drawings/drawing4.xml" ContentType="application/vnd.openxmlformats-officedocument.drawing+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drawings/drawing5.xml" ContentType="application/vnd.openxmlformats-officedocument.drawing+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drawings/drawing6.xml" ContentType="application/vnd.openxmlformats-officedocument.drawing+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drawings/drawing7.xml" ContentType="application/vnd.openxmlformats-officedocument.drawing+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drawings/drawing8.xml" ContentType="application/vnd.openxmlformats-officedocument.drawing+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drawings/drawing9.xml" ContentType="application/vnd.openxmlformats-officedocument.drawing+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drawings/drawing10.xml" ContentType="application/vnd.openxmlformats-officedocument.drawing+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drawings/drawing11.xml" ContentType="application/vnd.openxmlformats-officedocument.drawing+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drawings/drawing12.xml" ContentType="application/vnd.openxmlformats-officedocument.drawing+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drawings/drawing13.xml" ContentType="application/vnd.openxmlformats-officedocument.drawing+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drawings/drawing14.xml" ContentType="application/vnd.openxmlformats-officedocument.drawing+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drawings/drawing15.xml" ContentType="application/vnd.openxmlformats-officedocument.drawing+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6"/>
  </bookViews>
  <sheets>
    <sheet name="1" sheetId="53" r:id="rId1"/>
    <sheet name="2" sheetId="70" r:id="rId2"/>
    <sheet name="3" sheetId="71" r:id="rId3"/>
    <sheet name="4" sheetId="74" r:id="rId4"/>
    <sheet name="5" sheetId="78" r:id="rId5"/>
    <sheet name="6" sheetId="81" r:id="rId6"/>
    <sheet name="MAKSEM" sheetId="82" r:id="rId7"/>
    <sheet name="8" sheetId="80" r:id="rId8"/>
    <sheet name="9" sheetId="79" r:id="rId9"/>
    <sheet name="10" sheetId="77" r:id="rId10"/>
    <sheet name="11" sheetId="73" r:id="rId11"/>
    <sheet name="12" sheetId="76" r:id="rId12"/>
    <sheet name="13" sheetId="75" r:id="rId13"/>
    <sheet name="14" sheetId="72" r:id="rId14"/>
    <sheet name="15" sheetId="69" r:id="rId15"/>
  </sheets>
  <definedNames>
    <definedName name="_xlnm.Print_Area" localSheetId="0">'1'!$A$1:$L$220</definedName>
    <definedName name="_xlnm.Print_Area" localSheetId="9">'10'!$A$1:$L$230</definedName>
    <definedName name="_xlnm.Print_Area" localSheetId="10">'11'!$A$1:$L$230</definedName>
    <definedName name="_xlnm.Print_Area" localSheetId="11">'12'!$A$1:$L$230</definedName>
    <definedName name="_xlnm.Print_Area" localSheetId="12">'13'!$A$1:$L$230</definedName>
    <definedName name="_xlnm.Print_Area" localSheetId="13">'14'!$A$1:$L$230</definedName>
    <definedName name="_xlnm.Print_Area" localSheetId="14">'15'!$A$1:$L$230</definedName>
    <definedName name="_xlnm.Print_Area" localSheetId="1">'2'!$A$1:$L$141</definedName>
    <definedName name="_xlnm.Print_Area" localSheetId="2">'3'!$A$1:$L$130</definedName>
    <definedName name="_xlnm.Print_Area" localSheetId="3">'4'!$A$1:$L$130</definedName>
    <definedName name="_xlnm.Print_Area" localSheetId="4">'5'!$A$1:$L$136</definedName>
    <definedName name="_xlnm.Print_Area" localSheetId="5">'6'!$A$1:$L$181</definedName>
    <definedName name="_xlnm.Print_Area" localSheetId="7">'8'!$A$1:$L$230</definedName>
    <definedName name="_xlnm.Print_Area" localSheetId="8">'9'!$A$1:$L$230</definedName>
    <definedName name="_xlnm.Print_Area" localSheetId="6">MAKSEM!$A$1:$L$96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7" i="82" l="1"/>
  <c r="K38" i="82"/>
  <c r="K39" i="82"/>
  <c r="K40" i="82"/>
  <c r="L40" i="82" s="1"/>
  <c r="K41" i="82"/>
  <c r="G42" i="82"/>
  <c r="G72" i="81" l="1"/>
  <c r="G61" i="81"/>
  <c r="G51" i="81"/>
  <c r="G39" i="81" l="1"/>
  <c r="H44" i="78" l="1"/>
  <c r="H43" i="78"/>
  <c r="H42" i="78"/>
  <c r="H41" i="78"/>
  <c r="H40" i="78"/>
  <c r="H39" i="78"/>
  <c r="H38" i="78"/>
  <c r="H37" i="78"/>
  <c r="H36" i="78"/>
  <c r="T56" i="78"/>
  <c r="T57" i="78"/>
  <c r="T58" i="78"/>
  <c r="T59" i="78"/>
  <c r="T60" i="78"/>
  <c r="T61" i="78"/>
  <c r="T62" i="78"/>
  <c r="T63" i="78"/>
  <c r="T55" i="78"/>
  <c r="G124" i="78" l="1"/>
  <c r="K40" i="78"/>
  <c r="L40" i="78" s="1"/>
  <c r="K41" i="78"/>
  <c r="L41" i="78" s="1"/>
  <c r="K42" i="78"/>
  <c r="L42" i="78" s="1"/>
  <c r="K43" i="78"/>
  <c r="L43" i="78" s="1"/>
  <c r="G45" i="78"/>
  <c r="G40" i="74" l="1"/>
  <c r="G40" i="71" l="1"/>
  <c r="K37" i="71"/>
  <c r="L37" i="71" s="1"/>
  <c r="K38" i="71"/>
  <c r="L38" i="71" s="1"/>
  <c r="K39" i="71"/>
  <c r="L39" i="71" s="1"/>
  <c r="L40" i="71" l="1"/>
  <c r="L42" i="71" s="1"/>
  <c r="G52" i="70"/>
  <c r="G69" i="70" l="1"/>
  <c r="G40" i="70"/>
  <c r="G205" i="53" l="1"/>
  <c r="G73" i="53"/>
  <c r="G88" i="53"/>
  <c r="G60" i="53"/>
  <c r="G50" i="53"/>
  <c r="G38" i="53"/>
  <c r="G110" i="53"/>
  <c r="L41" i="82" l="1"/>
  <c r="L39" i="82"/>
  <c r="L38" i="82"/>
  <c r="L37" i="82"/>
  <c r="K36" i="82"/>
  <c r="L36" i="82" s="1"/>
  <c r="G99" i="81"/>
  <c r="L98" i="81"/>
  <c r="L97" i="81"/>
  <c r="L96" i="81"/>
  <c r="L95" i="81"/>
  <c r="L94" i="81"/>
  <c r="L93" i="81"/>
  <c r="L92" i="81"/>
  <c r="L91" i="81"/>
  <c r="L90" i="81"/>
  <c r="L89" i="81"/>
  <c r="L88" i="81"/>
  <c r="L87" i="81"/>
  <c r="L86" i="81"/>
  <c r="L85" i="81"/>
  <c r="L84" i="81"/>
  <c r="K71" i="81"/>
  <c r="L71" i="81" s="1"/>
  <c r="K60" i="81"/>
  <c r="L60" i="81" s="1"/>
  <c r="K50" i="81"/>
  <c r="L50" i="81" s="1"/>
  <c r="K49" i="81"/>
  <c r="L49" i="81" s="1"/>
  <c r="K48" i="81"/>
  <c r="L48" i="81" s="1"/>
  <c r="K38" i="81"/>
  <c r="L38" i="81" s="1"/>
  <c r="K37" i="81"/>
  <c r="L37" i="81" s="1"/>
  <c r="K36" i="81"/>
  <c r="L36" i="81" s="1"/>
  <c r="G148" i="80"/>
  <c r="L147" i="80"/>
  <c r="L146" i="80"/>
  <c r="L145" i="80"/>
  <c r="L144" i="80"/>
  <c r="L143" i="80"/>
  <c r="L142" i="80"/>
  <c r="L141" i="80"/>
  <c r="L148" i="80" s="1"/>
  <c r="L149" i="80" s="1"/>
  <c r="L150" i="80" s="1"/>
  <c r="D163" i="80" s="1"/>
  <c r="L140" i="80"/>
  <c r="L139" i="80"/>
  <c r="L138" i="80"/>
  <c r="L137" i="80"/>
  <c r="L136" i="80"/>
  <c r="L135" i="80"/>
  <c r="L134" i="80"/>
  <c r="L133" i="80"/>
  <c r="G126" i="80"/>
  <c r="K125" i="80"/>
  <c r="L125" i="80" s="1"/>
  <c r="K124" i="80"/>
  <c r="L124" i="80" s="1"/>
  <c r="K123" i="80"/>
  <c r="L123" i="80" s="1"/>
  <c r="K122" i="80"/>
  <c r="L122" i="80" s="1"/>
  <c r="K121" i="80"/>
  <c r="L121" i="80" s="1"/>
  <c r="G115" i="80"/>
  <c r="K114" i="80"/>
  <c r="L114" i="80" s="1"/>
  <c r="L113" i="80"/>
  <c r="K113" i="80"/>
  <c r="K112" i="80"/>
  <c r="L112" i="80" s="1"/>
  <c r="K111" i="80"/>
  <c r="L111" i="80" s="1"/>
  <c r="K110" i="80"/>
  <c r="L110" i="80" s="1"/>
  <c r="L115" i="80" s="1"/>
  <c r="L116" i="80" s="1"/>
  <c r="L117" i="80" s="1"/>
  <c r="D161" i="80" s="1"/>
  <c r="G100" i="80"/>
  <c r="K99" i="80"/>
  <c r="L99" i="80" s="1"/>
  <c r="K98" i="80"/>
  <c r="L98" i="80" s="1"/>
  <c r="K97" i="80"/>
  <c r="L97" i="80" s="1"/>
  <c r="K96" i="80"/>
  <c r="L96" i="80" s="1"/>
  <c r="L100" i="80" s="1"/>
  <c r="L101" i="80" s="1"/>
  <c r="L102" i="80" s="1"/>
  <c r="D160" i="80" s="1"/>
  <c r="L95" i="80"/>
  <c r="K95" i="80"/>
  <c r="G84" i="80"/>
  <c r="K83" i="80"/>
  <c r="L83" i="80" s="1"/>
  <c r="K82" i="80"/>
  <c r="L82" i="80" s="1"/>
  <c r="K81" i="80"/>
  <c r="L81" i="80" s="1"/>
  <c r="K80" i="80"/>
  <c r="L80" i="80" s="1"/>
  <c r="K79" i="80"/>
  <c r="L79" i="80" s="1"/>
  <c r="G69" i="80"/>
  <c r="L68" i="80"/>
  <c r="K68" i="80"/>
  <c r="K67" i="80"/>
  <c r="L67" i="80" s="1"/>
  <c r="K66" i="80"/>
  <c r="L66" i="80" s="1"/>
  <c r="K65" i="80"/>
  <c r="L65" i="80" s="1"/>
  <c r="K64" i="80"/>
  <c r="L64" i="80" s="1"/>
  <c r="L69" i="80" s="1"/>
  <c r="L70" i="80" s="1"/>
  <c r="L71" i="80" s="1"/>
  <c r="D158" i="80" s="1"/>
  <c r="G55" i="80"/>
  <c r="K54" i="80"/>
  <c r="L54" i="80" s="1"/>
  <c r="K53" i="80"/>
  <c r="L53" i="80" s="1"/>
  <c r="K52" i="80"/>
  <c r="L52" i="80" s="1"/>
  <c r="L51" i="80"/>
  <c r="K51" i="80"/>
  <c r="K50" i="80"/>
  <c r="L50" i="80" s="1"/>
  <c r="L55" i="80" s="1"/>
  <c r="L56" i="80" s="1"/>
  <c r="L57" i="80" s="1"/>
  <c r="D157" i="80" s="1"/>
  <c r="G41" i="80"/>
  <c r="K40" i="80"/>
  <c r="L40" i="80" s="1"/>
  <c r="K39" i="80"/>
  <c r="L39" i="80" s="1"/>
  <c r="K38" i="80"/>
  <c r="L38" i="80" s="1"/>
  <c r="K37" i="80"/>
  <c r="L37" i="80" s="1"/>
  <c r="K36" i="80"/>
  <c r="L36" i="80" s="1"/>
  <c r="G148" i="79"/>
  <c r="L147" i="79"/>
  <c r="L146" i="79"/>
  <c r="L145" i="79"/>
  <c r="L144" i="79"/>
  <c r="L143" i="79"/>
  <c r="L142" i="79"/>
  <c r="L141" i="79"/>
  <c r="L140" i="79"/>
  <c r="L139" i="79"/>
  <c r="L138" i="79"/>
  <c r="L137" i="79"/>
  <c r="L136" i="79"/>
  <c r="L135" i="79"/>
  <c r="L134" i="79"/>
  <c r="L148" i="79" s="1"/>
  <c r="L149" i="79" s="1"/>
  <c r="L150" i="79" s="1"/>
  <c r="D163" i="79" s="1"/>
  <c r="L133" i="79"/>
  <c r="G126" i="79"/>
  <c r="K125" i="79"/>
  <c r="L125" i="79" s="1"/>
  <c r="K124" i="79"/>
  <c r="L124" i="79" s="1"/>
  <c r="K123" i="79"/>
  <c r="L123" i="79" s="1"/>
  <c r="L122" i="79"/>
  <c r="K122" i="79"/>
  <c r="K121" i="79"/>
  <c r="L121" i="79" s="1"/>
  <c r="G115" i="79"/>
  <c r="L114" i="79"/>
  <c r="K114" i="79"/>
  <c r="K113" i="79"/>
  <c r="L113" i="79" s="1"/>
  <c r="K112" i="79"/>
  <c r="L112" i="79" s="1"/>
  <c r="K111" i="79"/>
  <c r="L111" i="79" s="1"/>
  <c r="L110" i="79"/>
  <c r="K110" i="79"/>
  <c r="G100" i="79"/>
  <c r="K99" i="79"/>
  <c r="L99" i="79" s="1"/>
  <c r="K98" i="79"/>
  <c r="L98" i="79" s="1"/>
  <c r="K97" i="79"/>
  <c r="L97" i="79" s="1"/>
  <c r="L96" i="79"/>
  <c r="K96" i="79"/>
  <c r="K95" i="79"/>
  <c r="L95" i="79" s="1"/>
  <c r="L100" i="79" s="1"/>
  <c r="L101" i="79" s="1"/>
  <c r="L102" i="79" s="1"/>
  <c r="D160" i="79" s="1"/>
  <c r="G84" i="79"/>
  <c r="K83" i="79"/>
  <c r="L83" i="79" s="1"/>
  <c r="K82" i="79"/>
  <c r="L82" i="79" s="1"/>
  <c r="L81" i="79"/>
  <c r="K81" i="79"/>
  <c r="K80" i="79"/>
  <c r="L80" i="79" s="1"/>
  <c r="K79" i="79"/>
  <c r="L79" i="79" s="1"/>
  <c r="G69" i="79"/>
  <c r="K68" i="79"/>
  <c r="L68" i="79" s="1"/>
  <c r="K67" i="79"/>
  <c r="L67" i="79" s="1"/>
  <c r="K66" i="79"/>
  <c r="L66" i="79" s="1"/>
  <c r="K65" i="79"/>
  <c r="L65" i="79" s="1"/>
  <c r="K64" i="79"/>
  <c r="L64" i="79" s="1"/>
  <c r="G55" i="79"/>
  <c r="K54" i="79"/>
  <c r="L54" i="79" s="1"/>
  <c r="K53" i="79"/>
  <c r="L53" i="79" s="1"/>
  <c r="L52" i="79"/>
  <c r="K52" i="79"/>
  <c r="K51" i="79"/>
  <c r="L51" i="79" s="1"/>
  <c r="K50" i="79"/>
  <c r="L50" i="79" s="1"/>
  <c r="L55" i="79" s="1"/>
  <c r="L56" i="79" s="1"/>
  <c r="L57" i="79" s="1"/>
  <c r="D157" i="79" s="1"/>
  <c r="G41" i="79"/>
  <c r="K40" i="79"/>
  <c r="L40" i="79" s="1"/>
  <c r="L39" i="79"/>
  <c r="K39" i="79"/>
  <c r="K38" i="79"/>
  <c r="L38" i="79" s="1"/>
  <c r="K37" i="79"/>
  <c r="L37" i="79" s="1"/>
  <c r="K36" i="79"/>
  <c r="L36" i="79" s="1"/>
  <c r="G64" i="78"/>
  <c r="L63" i="78"/>
  <c r="L62" i="78"/>
  <c r="L61" i="78"/>
  <c r="L60" i="78"/>
  <c r="L59" i="78"/>
  <c r="L58" i="78"/>
  <c r="L57" i="78"/>
  <c r="L56" i="78"/>
  <c r="L55" i="78"/>
  <c r="K44" i="78"/>
  <c r="L44" i="78" s="1"/>
  <c r="K39" i="78"/>
  <c r="L39" i="78" s="1"/>
  <c r="K38" i="78"/>
  <c r="L38" i="78" s="1"/>
  <c r="K37" i="78"/>
  <c r="K36" i="78"/>
  <c r="L36" i="78" s="1"/>
  <c r="G148" i="77"/>
  <c r="L147" i="77"/>
  <c r="L146" i="77"/>
  <c r="L145" i="77"/>
  <c r="L144" i="77"/>
  <c r="L143" i="77"/>
  <c r="L142" i="77"/>
  <c r="L141" i="77"/>
  <c r="L148" i="77" s="1"/>
  <c r="L149" i="77" s="1"/>
  <c r="L150" i="77" s="1"/>
  <c r="D163" i="77" s="1"/>
  <c r="L140" i="77"/>
  <c r="L139" i="77"/>
  <c r="L138" i="77"/>
  <c r="L137" i="77"/>
  <c r="L136" i="77"/>
  <c r="L135" i="77"/>
  <c r="L134" i="77"/>
  <c r="L133" i="77"/>
  <c r="G126" i="77"/>
  <c r="K125" i="77"/>
  <c r="L125" i="77" s="1"/>
  <c r="K124" i="77"/>
  <c r="L124" i="77" s="1"/>
  <c r="K123" i="77"/>
  <c r="L123" i="77" s="1"/>
  <c r="L122" i="77"/>
  <c r="K122" i="77"/>
  <c r="K121" i="77"/>
  <c r="L121" i="77" s="1"/>
  <c r="G115" i="77"/>
  <c r="K114" i="77"/>
  <c r="L114" i="77" s="1"/>
  <c r="K113" i="77"/>
  <c r="L113" i="77" s="1"/>
  <c r="K112" i="77"/>
  <c r="L112" i="77" s="1"/>
  <c r="K111" i="77"/>
  <c r="L111" i="77" s="1"/>
  <c r="K110" i="77"/>
  <c r="L110" i="77" s="1"/>
  <c r="L115" i="77" s="1"/>
  <c r="L116" i="77" s="1"/>
  <c r="L117" i="77" s="1"/>
  <c r="D161" i="77" s="1"/>
  <c r="G100" i="77"/>
  <c r="K99" i="77"/>
  <c r="L99" i="77" s="1"/>
  <c r="K98" i="77"/>
  <c r="L98" i="77" s="1"/>
  <c r="L97" i="77"/>
  <c r="K97" i="77"/>
  <c r="K96" i="77"/>
  <c r="L96" i="77" s="1"/>
  <c r="K95" i="77"/>
  <c r="L95" i="77" s="1"/>
  <c r="L100" i="77" s="1"/>
  <c r="L101" i="77" s="1"/>
  <c r="L102" i="77" s="1"/>
  <c r="D160" i="77" s="1"/>
  <c r="G84" i="77"/>
  <c r="K83" i="77"/>
  <c r="L83" i="77" s="1"/>
  <c r="L82" i="77"/>
  <c r="K82" i="77"/>
  <c r="K81" i="77"/>
  <c r="L81" i="77" s="1"/>
  <c r="K80" i="77"/>
  <c r="L80" i="77" s="1"/>
  <c r="K79" i="77"/>
  <c r="L79" i="77" s="1"/>
  <c r="G69" i="77"/>
  <c r="K68" i="77"/>
  <c r="L68" i="77" s="1"/>
  <c r="K67" i="77"/>
  <c r="L67" i="77" s="1"/>
  <c r="L66" i="77"/>
  <c r="K66" i="77"/>
  <c r="K65" i="77"/>
  <c r="L65" i="77" s="1"/>
  <c r="K64" i="77"/>
  <c r="L64" i="77" s="1"/>
  <c r="G55" i="77"/>
  <c r="K54" i="77"/>
  <c r="L54" i="77" s="1"/>
  <c r="L53" i="77"/>
  <c r="K53" i="77"/>
  <c r="K52" i="77"/>
  <c r="L52" i="77" s="1"/>
  <c r="K51" i="77"/>
  <c r="L51" i="77" s="1"/>
  <c r="K50" i="77"/>
  <c r="L50" i="77" s="1"/>
  <c r="L55" i="77" s="1"/>
  <c r="L56" i="77" s="1"/>
  <c r="L57" i="77" s="1"/>
  <c r="D157" i="77" s="1"/>
  <c r="G41" i="77"/>
  <c r="K40" i="77"/>
  <c r="L40" i="77" s="1"/>
  <c r="K39" i="77"/>
  <c r="L39" i="77" s="1"/>
  <c r="K38" i="77"/>
  <c r="L38" i="77" s="1"/>
  <c r="K37" i="77"/>
  <c r="L37" i="77" s="1"/>
  <c r="L36" i="77"/>
  <c r="K36" i="77"/>
  <c r="G148" i="76"/>
  <c r="L147" i="76"/>
  <c r="L146" i="76"/>
  <c r="L145" i="76"/>
  <c r="L144" i="76"/>
  <c r="L143" i="76"/>
  <c r="L142" i="76"/>
  <c r="L141" i="76"/>
  <c r="L148" i="76" s="1"/>
  <c r="L149" i="76" s="1"/>
  <c r="L150" i="76" s="1"/>
  <c r="D163" i="76" s="1"/>
  <c r="L140" i="76"/>
  <c r="L139" i="76"/>
  <c r="L138" i="76"/>
  <c r="L137" i="76"/>
  <c r="L136" i="76"/>
  <c r="L135" i="76"/>
  <c r="L134" i="76"/>
  <c r="L133" i="76"/>
  <c r="G126" i="76"/>
  <c r="K125" i="76"/>
  <c r="L125" i="76" s="1"/>
  <c r="K124" i="76"/>
  <c r="L124" i="76" s="1"/>
  <c r="K123" i="76"/>
  <c r="L123" i="76" s="1"/>
  <c r="K122" i="76"/>
  <c r="L122" i="76" s="1"/>
  <c r="K121" i="76"/>
  <c r="L121" i="76" s="1"/>
  <c r="L126" i="76" s="1"/>
  <c r="L127" i="76" s="1"/>
  <c r="L128" i="76" s="1"/>
  <c r="D162" i="76" s="1"/>
  <c r="G115" i="76"/>
  <c r="K114" i="76"/>
  <c r="L114" i="76" s="1"/>
  <c r="K113" i="76"/>
  <c r="L113" i="76" s="1"/>
  <c r="K112" i="76"/>
  <c r="L112" i="76" s="1"/>
  <c r="K111" i="76"/>
  <c r="L111" i="76" s="1"/>
  <c r="K110" i="76"/>
  <c r="L110" i="76" s="1"/>
  <c r="G100" i="76"/>
  <c r="K99" i="76"/>
  <c r="L99" i="76" s="1"/>
  <c r="K98" i="76"/>
  <c r="L98" i="76" s="1"/>
  <c r="K97" i="76"/>
  <c r="L97" i="76" s="1"/>
  <c r="K96" i="76"/>
  <c r="L96" i="76" s="1"/>
  <c r="K95" i="76"/>
  <c r="L95" i="76" s="1"/>
  <c r="L100" i="76" s="1"/>
  <c r="L101" i="76" s="1"/>
  <c r="L102" i="76" s="1"/>
  <c r="D160" i="76" s="1"/>
  <c r="G84" i="76"/>
  <c r="K83" i="76"/>
  <c r="L83" i="76" s="1"/>
  <c r="K82" i="76"/>
  <c r="L82" i="76" s="1"/>
  <c r="K81" i="76"/>
  <c r="L81" i="76" s="1"/>
  <c r="K80" i="76"/>
  <c r="L80" i="76" s="1"/>
  <c r="K79" i="76"/>
  <c r="L79" i="76" s="1"/>
  <c r="L84" i="76" s="1"/>
  <c r="L85" i="76" s="1"/>
  <c r="L86" i="76" s="1"/>
  <c r="D159" i="76" s="1"/>
  <c r="G69" i="76"/>
  <c r="K68" i="76"/>
  <c r="L68" i="76" s="1"/>
  <c r="K67" i="76"/>
  <c r="L67" i="76" s="1"/>
  <c r="K66" i="76"/>
  <c r="L66" i="76" s="1"/>
  <c r="K65" i="76"/>
  <c r="L65" i="76" s="1"/>
  <c r="K64" i="76"/>
  <c r="L64" i="76" s="1"/>
  <c r="L69" i="76" s="1"/>
  <c r="L70" i="76" s="1"/>
  <c r="L71" i="76" s="1"/>
  <c r="D158" i="76" s="1"/>
  <c r="G55" i="76"/>
  <c r="K54" i="76"/>
  <c r="L54" i="76" s="1"/>
  <c r="K53" i="76"/>
  <c r="L53" i="76" s="1"/>
  <c r="K52" i="76"/>
  <c r="L52" i="76" s="1"/>
  <c r="K51" i="76"/>
  <c r="L51" i="76" s="1"/>
  <c r="K50" i="76"/>
  <c r="L50" i="76" s="1"/>
  <c r="L55" i="76" s="1"/>
  <c r="L56" i="76" s="1"/>
  <c r="L57" i="76" s="1"/>
  <c r="D157" i="76" s="1"/>
  <c r="G41" i="76"/>
  <c r="K40" i="76"/>
  <c r="L40" i="76" s="1"/>
  <c r="K39" i="76"/>
  <c r="L39" i="76" s="1"/>
  <c r="K38" i="76"/>
  <c r="L38" i="76" s="1"/>
  <c r="K37" i="76"/>
  <c r="L37" i="76" s="1"/>
  <c r="K36" i="76"/>
  <c r="L36" i="76" s="1"/>
  <c r="L41" i="76" s="1"/>
  <c r="L42" i="76" s="1"/>
  <c r="L43" i="76" s="1"/>
  <c r="D156" i="76" s="1"/>
  <c r="G148" i="75"/>
  <c r="L147" i="75"/>
  <c r="L146" i="75"/>
  <c r="L145" i="75"/>
  <c r="L144" i="75"/>
  <c r="L143" i="75"/>
  <c r="L142" i="75"/>
  <c r="L141" i="75"/>
  <c r="L140" i="75"/>
  <c r="L139" i="75"/>
  <c r="L148" i="75" s="1"/>
  <c r="L149" i="75" s="1"/>
  <c r="L150" i="75" s="1"/>
  <c r="D163" i="75" s="1"/>
  <c r="L138" i="75"/>
  <c r="L137" i="75"/>
  <c r="L136" i="75"/>
  <c r="L135" i="75"/>
  <c r="L134" i="75"/>
  <c r="L133" i="75"/>
  <c r="G126" i="75"/>
  <c r="K125" i="75"/>
  <c r="L125" i="75" s="1"/>
  <c r="K124" i="75"/>
  <c r="L124" i="75" s="1"/>
  <c r="K123" i="75"/>
  <c r="L123" i="75" s="1"/>
  <c r="K122" i="75"/>
  <c r="L122" i="75" s="1"/>
  <c r="K121" i="75"/>
  <c r="L121" i="75" s="1"/>
  <c r="G115" i="75"/>
  <c r="K114" i="75"/>
  <c r="L114" i="75" s="1"/>
  <c r="K113" i="75"/>
  <c r="L113" i="75" s="1"/>
  <c r="K112" i="75"/>
  <c r="L112" i="75" s="1"/>
  <c r="K111" i="75"/>
  <c r="L111" i="75" s="1"/>
  <c r="K110" i="75"/>
  <c r="L110" i="75" s="1"/>
  <c r="L115" i="75" s="1"/>
  <c r="L116" i="75" s="1"/>
  <c r="L117" i="75" s="1"/>
  <c r="D161" i="75" s="1"/>
  <c r="G100" i="75"/>
  <c r="K99" i="75"/>
  <c r="L99" i="75" s="1"/>
  <c r="K98" i="75"/>
  <c r="L98" i="75" s="1"/>
  <c r="K97" i="75"/>
  <c r="L97" i="75" s="1"/>
  <c r="K96" i="75"/>
  <c r="L96" i="75" s="1"/>
  <c r="K95" i="75"/>
  <c r="L95" i="75" s="1"/>
  <c r="L100" i="75" s="1"/>
  <c r="L101" i="75" s="1"/>
  <c r="L102" i="75" s="1"/>
  <c r="D160" i="75" s="1"/>
  <c r="G84" i="75"/>
  <c r="K83" i="75"/>
  <c r="L83" i="75" s="1"/>
  <c r="K82" i="75"/>
  <c r="L82" i="75" s="1"/>
  <c r="K81" i="75"/>
  <c r="L81" i="75" s="1"/>
  <c r="K80" i="75"/>
  <c r="L80" i="75" s="1"/>
  <c r="K79" i="75"/>
  <c r="L79" i="75" s="1"/>
  <c r="L84" i="75" s="1"/>
  <c r="L85" i="75" s="1"/>
  <c r="L86" i="75" s="1"/>
  <c r="D159" i="75" s="1"/>
  <c r="G69" i="75"/>
  <c r="K68" i="75"/>
  <c r="L68" i="75" s="1"/>
  <c r="K67" i="75"/>
  <c r="L67" i="75" s="1"/>
  <c r="K66" i="75"/>
  <c r="L66" i="75" s="1"/>
  <c r="K65" i="75"/>
  <c r="L65" i="75" s="1"/>
  <c r="K64" i="75"/>
  <c r="L64" i="75" s="1"/>
  <c r="L69" i="75" s="1"/>
  <c r="L70" i="75" s="1"/>
  <c r="L71" i="75" s="1"/>
  <c r="D158" i="75" s="1"/>
  <c r="G55" i="75"/>
  <c r="K54" i="75"/>
  <c r="L54" i="75" s="1"/>
  <c r="K53" i="75"/>
  <c r="L53" i="75" s="1"/>
  <c r="K52" i="75"/>
  <c r="L52" i="75" s="1"/>
  <c r="K51" i="75"/>
  <c r="L51" i="75" s="1"/>
  <c r="K50" i="75"/>
  <c r="L50" i="75" s="1"/>
  <c r="L55" i="75" s="1"/>
  <c r="L56" i="75" s="1"/>
  <c r="L57" i="75" s="1"/>
  <c r="D157" i="75" s="1"/>
  <c r="G41" i="75"/>
  <c r="K40" i="75"/>
  <c r="L40" i="75" s="1"/>
  <c r="K39" i="75"/>
  <c r="L39" i="75" s="1"/>
  <c r="K38" i="75"/>
  <c r="L38" i="75" s="1"/>
  <c r="K37" i="75"/>
  <c r="L37" i="75" s="1"/>
  <c r="K36" i="75"/>
  <c r="L36" i="75" s="1"/>
  <c r="L41" i="75" s="1"/>
  <c r="L42" i="75" s="1"/>
  <c r="L43" i="75" s="1"/>
  <c r="D156" i="75" s="1"/>
  <c r="K39" i="74"/>
  <c r="L39" i="74" s="1"/>
  <c r="K38" i="74"/>
  <c r="L38" i="74" s="1"/>
  <c r="K37" i="74"/>
  <c r="L37" i="74" s="1"/>
  <c r="G148" i="73"/>
  <c r="L147" i="73"/>
  <c r="L146" i="73"/>
  <c r="L145" i="73"/>
  <c r="L144" i="73"/>
  <c r="L143" i="73"/>
  <c r="L142" i="73"/>
  <c r="L141" i="73"/>
  <c r="L148" i="73" s="1"/>
  <c r="L149" i="73" s="1"/>
  <c r="L150" i="73" s="1"/>
  <c r="D163" i="73" s="1"/>
  <c r="L140" i="73"/>
  <c r="L139" i="73"/>
  <c r="L138" i="73"/>
  <c r="L137" i="73"/>
  <c r="L136" i="73"/>
  <c r="L135" i="73"/>
  <c r="L134" i="73"/>
  <c r="L133" i="73"/>
  <c r="G126" i="73"/>
  <c r="K125" i="73"/>
  <c r="L125" i="73" s="1"/>
  <c r="K124" i="73"/>
  <c r="L124" i="73" s="1"/>
  <c r="K123" i="73"/>
  <c r="L123" i="73" s="1"/>
  <c r="K122" i="73"/>
  <c r="L122" i="73" s="1"/>
  <c r="K121" i="73"/>
  <c r="L121" i="73" s="1"/>
  <c r="G115" i="73"/>
  <c r="K114" i="73"/>
  <c r="L114" i="73" s="1"/>
  <c r="K113" i="73"/>
  <c r="L113" i="73" s="1"/>
  <c r="K112" i="73"/>
  <c r="L112" i="73" s="1"/>
  <c r="K111" i="73"/>
  <c r="L111" i="73" s="1"/>
  <c r="K110" i="73"/>
  <c r="L110" i="73" s="1"/>
  <c r="L115" i="73" s="1"/>
  <c r="L116" i="73" s="1"/>
  <c r="L117" i="73" s="1"/>
  <c r="D161" i="73" s="1"/>
  <c r="G100" i="73"/>
  <c r="K99" i="73"/>
  <c r="L99" i="73" s="1"/>
  <c r="K98" i="73"/>
  <c r="L98" i="73" s="1"/>
  <c r="K97" i="73"/>
  <c r="L97" i="73" s="1"/>
  <c r="K96" i="73"/>
  <c r="L96" i="73" s="1"/>
  <c r="K95" i="73"/>
  <c r="L95" i="73" s="1"/>
  <c r="L100" i="73" s="1"/>
  <c r="L101" i="73" s="1"/>
  <c r="L102" i="73" s="1"/>
  <c r="D160" i="73" s="1"/>
  <c r="G84" i="73"/>
  <c r="K83" i="73"/>
  <c r="L83" i="73" s="1"/>
  <c r="K82" i="73"/>
  <c r="L82" i="73" s="1"/>
  <c r="K81" i="73"/>
  <c r="L81" i="73" s="1"/>
  <c r="K80" i="73"/>
  <c r="L80" i="73" s="1"/>
  <c r="K79" i="73"/>
  <c r="L79" i="73" s="1"/>
  <c r="L84" i="73" s="1"/>
  <c r="L85" i="73" s="1"/>
  <c r="L86" i="73" s="1"/>
  <c r="D159" i="73" s="1"/>
  <c r="G69" i="73"/>
  <c r="K68" i="73"/>
  <c r="L68" i="73" s="1"/>
  <c r="K67" i="73"/>
  <c r="L67" i="73" s="1"/>
  <c r="K66" i="73"/>
  <c r="L66" i="73" s="1"/>
  <c r="K65" i="73"/>
  <c r="L65" i="73" s="1"/>
  <c r="K64" i="73"/>
  <c r="L64" i="73" s="1"/>
  <c r="L69" i="73" s="1"/>
  <c r="L70" i="73" s="1"/>
  <c r="L71" i="73" s="1"/>
  <c r="D158" i="73" s="1"/>
  <c r="G55" i="73"/>
  <c r="K54" i="73"/>
  <c r="L54" i="73" s="1"/>
  <c r="K53" i="73"/>
  <c r="L53" i="73" s="1"/>
  <c r="K52" i="73"/>
  <c r="L52" i="73" s="1"/>
  <c r="K51" i="73"/>
  <c r="L51" i="73" s="1"/>
  <c r="K50" i="73"/>
  <c r="L50" i="73" s="1"/>
  <c r="L55" i="73" s="1"/>
  <c r="L56" i="73" s="1"/>
  <c r="L57" i="73" s="1"/>
  <c r="D157" i="73" s="1"/>
  <c r="G41" i="73"/>
  <c r="K40" i="73"/>
  <c r="L40" i="73" s="1"/>
  <c r="K39" i="73"/>
  <c r="L39" i="73" s="1"/>
  <c r="K38" i="73"/>
  <c r="L38" i="73" s="1"/>
  <c r="K37" i="73"/>
  <c r="L37" i="73" s="1"/>
  <c r="K36" i="73"/>
  <c r="L36" i="73" s="1"/>
  <c r="L41" i="73" s="1"/>
  <c r="L42" i="73" s="1"/>
  <c r="L43" i="73" s="1"/>
  <c r="D156" i="73" s="1"/>
  <c r="G148" i="72"/>
  <c r="L147" i="72"/>
  <c r="L146" i="72"/>
  <c r="L145" i="72"/>
  <c r="L144" i="72"/>
  <c r="L143" i="72"/>
  <c r="L142" i="72"/>
  <c r="L141" i="72"/>
  <c r="L148" i="72" s="1"/>
  <c r="L149" i="72" s="1"/>
  <c r="L150" i="72" s="1"/>
  <c r="D163" i="72" s="1"/>
  <c r="L140" i="72"/>
  <c r="L139" i="72"/>
  <c r="L138" i="72"/>
  <c r="L137" i="72"/>
  <c r="L136" i="72"/>
  <c r="L135" i="72"/>
  <c r="L134" i="72"/>
  <c r="L133" i="72"/>
  <c r="G126" i="72"/>
  <c r="K125" i="72"/>
  <c r="L125" i="72" s="1"/>
  <c r="K124" i="72"/>
  <c r="L124" i="72" s="1"/>
  <c r="K123" i="72"/>
  <c r="L123" i="72" s="1"/>
  <c r="K122" i="72"/>
  <c r="L122" i="72" s="1"/>
  <c r="K121" i="72"/>
  <c r="L121" i="72" s="1"/>
  <c r="G115" i="72"/>
  <c r="K114" i="72"/>
  <c r="L114" i="72" s="1"/>
  <c r="K113" i="72"/>
  <c r="L113" i="72" s="1"/>
  <c r="K112" i="72"/>
  <c r="L112" i="72" s="1"/>
  <c r="K111" i="72"/>
  <c r="L111" i="72" s="1"/>
  <c r="K110" i="72"/>
  <c r="L110" i="72" s="1"/>
  <c r="L115" i="72" s="1"/>
  <c r="L116" i="72" s="1"/>
  <c r="L117" i="72" s="1"/>
  <c r="D161" i="72" s="1"/>
  <c r="G100" i="72"/>
  <c r="K99" i="72"/>
  <c r="L99" i="72" s="1"/>
  <c r="K98" i="72"/>
  <c r="L98" i="72" s="1"/>
  <c r="K97" i="72"/>
  <c r="L97" i="72" s="1"/>
  <c r="K96" i="72"/>
  <c r="L96" i="72" s="1"/>
  <c r="K95" i="72"/>
  <c r="L95" i="72" s="1"/>
  <c r="L100" i="72" s="1"/>
  <c r="L101" i="72" s="1"/>
  <c r="L102" i="72" s="1"/>
  <c r="D160" i="72" s="1"/>
  <c r="G84" i="72"/>
  <c r="K83" i="72"/>
  <c r="L83" i="72" s="1"/>
  <c r="K82" i="72"/>
  <c r="L82" i="72" s="1"/>
  <c r="K81" i="72"/>
  <c r="L81" i="72" s="1"/>
  <c r="K80" i="72"/>
  <c r="L80" i="72" s="1"/>
  <c r="K79" i="72"/>
  <c r="L79" i="72" s="1"/>
  <c r="L84" i="72" s="1"/>
  <c r="L85" i="72" s="1"/>
  <c r="L86" i="72" s="1"/>
  <c r="D159" i="72" s="1"/>
  <c r="G69" i="72"/>
  <c r="K68" i="72"/>
  <c r="L68" i="72" s="1"/>
  <c r="K67" i="72"/>
  <c r="L67" i="72" s="1"/>
  <c r="K66" i="72"/>
  <c r="L66" i="72" s="1"/>
  <c r="K65" i="72"/>
  <c r="L65" i="72" s="1"/>
  <c r="K64" i="72"/>
  <c r="L64" i="72" s="1"/>
  <c r="L69" i="72" s="1"/>
  <c r="L70" i="72" s="1"/>
  <c r="L71" i="72" s="1"/>
  <c r="D158" i="72" s="1"/>
  <c r="G55" i="72"/>
  <c r="K54" i="72"/>
  <c r="L54" i="72" s="1"/>
  <c r="K53" i="72"/>
  <c r="L53" i="72" s="1"/>
  <c r="K52" i="72"/>
  <c r="L52" i="72" s="1"/>
  <c r="K51" i="72"/>
  <c r="L51" i="72" s="1"/>
  <c r="K50" i="72"/>
  <c r="L50" i="72" s="1"/>
  <c r="L55" i="72" s="1"/>
  <c r="L56" i="72" s="1"/>
  <c r="L57" i="72" s="1"/>
  <c r="D157" i="72" s="1"/>
  <c r="G41" i="72"/>
  <c r="K40" i="72"/>
  <c r="L40" i="72" s="1"/>
  <c r="K39" i="72"/>
  <c r="L39" i="72" s="1"/>
  <c r="K38" i="72"/>
  <c r="L38" i="72" s="1"/>
  <c r="K37" i="72"/>
  <c r="L37" i="72" s="1"/>
  <c r="K36" i="72"/>
  <c r="L36" i="72" s="1"/>
  <c r="L41" i="72" s="1"/>
  <c r="L42" i="72" s="1"/>
  <c r="L43" i="72" s="1"/>
  <c r="D156" i="72" s="1"/>
  <c r="D58" i="71"/>
  <c r="L68" i="70"/>
  <c r="L67" i="70"/>
  <c r="L66" i="70"/>
  <c r="L65" i="70"/>
  <c r="L64" i="70"/>
  <c r="L63" i="70"/>
  <c r="L62" i="70"/>
  <c r="K51" i="70"/>
  <c r="L51" i="70" s="1"/>
  <c r="K50" i="70"/>
  <c r="L50" i="70" s="1"/>
  <c r="K49" i="70"/>
  <c r="L49" i="70" s="1"/>
  <c r="K39" i="70"/>
  <c r="L39" i="70" s="1"/>
  <c r="K38" i="70"/>
  <c r="L38" i="70" s="1"/>
  <c r="K37" i="70"/>
  <c r="L37" i="70" s="1"/>
  <c r="K36" i="70"/>
  <c r="L36" i="70" s="1"/>
  <c r="G148" i="69"/>
  <c r="L147" i="69"/>
  <c r="L146" i="69"/>
  <c r="L145" i="69"/>
  <c r="L144" i="69"/>
  <c r="L143" i="69"/>
  <c r="L142" i="69"/>
  <c r="L141" i="69"/>
  <c r="L148" i="69" s="1"/>
  <c r="L149" i="69" s="1"/>
  <c r="L150" i="69" s="1"/>
  <c r="D163" i="69" s="1"/>
  <c r="L140" i="69"/>
  <c r="L139" i="69"/>
  <c r="L138" i="69"/>
  <c r="L137" i="69"/>
  <c r="L136" i="69"/>
  <c r="L135" i="69"/>
  <c r="L134" i="69"/>
  <c r="L133" i="69"/>
  <c r="G126" i="69"/>
  <c r="K125" i="69"/>
  <c r="L125" i="69" s="1"/>
  <c r="K124" i="69"/>
  <c r="L124" i="69" s="1"/>
  <c r="K123" i="69"/>
  <c r="L123" i="69" s="1"/>
  <c r="K122" i="69"/>
  <c r="L122" i="69" s="1"/>
  <c r="K121" i="69"/>
  <c r="L121" i="69" s="1"/>
  <c r="G115" i="69"/>
  <c r="K114" i="69"/>
  <c r="L114" i="69" s="1"/>
  <c r="K113" i="69"/>
  <c r="L113" i="69" s="1"/>
  <c r="K112" i="69"/>
  <c r="L112" i="69" s="1"/>
  <c r="K111" i="69"/>
  <c r="L111" i="69" s="1"/>
  <c r="K110" i="69"/>
  <c r="L110" i="69" s="1"/>
  <c r="L115" i="69" s="1"/>
  <c r="L116" i="69" s="1"/>
  <c r="L117" i="69" s="1"/>
  <c r="D161" i="69" s="1"/>
  <c r="G100" i="69"/>
  <c r="K99" i="69"/>
  <c r="L99" i="69" s="1"/>
  <c r="K98" i="69"/>
  <c r="L98" i="69" s="1"/>
  <c r="K97" i="69"/>
  <c r="L97" i="69" s="1"/>
  <c r="K96" i="69"/>
  <c r="L96" i="69" s="1"/>
  <c r="K95" i="69"/>
  <c r="L95" i="69" s="1"/>
  <c r="L100" i="69" s="1"/>
  <c r="L101" i="69" s="1"/>
  <c r="L102" i="69" s="1"/>
  <c r="D160" i="69" s="1"/>
  <c r="G84" i="69"/>
  <c r="K83" i="69"/>
  <c r="L83" i="69" s="1"/>
  <c r="K82" i="69"/>
  <c r="L82" i="69" s="1"/>
  <c r="K81" i="69"/>
  <c r="L81" i="69" s="1"/>
  <c r="K80" i="69"/>
  <c r="L80" i="69" s="1"/>
  <c r="K79" i="69"/>
  <c r="L79" i="69" s="1"/>
  <c r="L84" i="69" s="1"/>
  <c r="L85" i="69" s="1"/>
  <c r="L86" i="69" s="1"/>
  <c r="D159" i="69" s="1"/>
  <c r="G69" i="69"/>
  <c r="K68" i="69"/>
  <c r="L68" i="69" s="1"/>
  <c r="K67" i="69"/>
  <c r="L67" i="69" s="1"/>
  <c r="K66" i="69"/>
  <c r="L66" i="69" s="1"/>
  <c r="K65" i="69"/>
  <c r="L65" i="69" s="1"/>
  <c r="K64" i="69"/>
  <c r="L64" i="69" s="1"/>
  <c r="L69" i="69" s="1"/>
  <c r="L70" i="69" s="1"/>
  <c r="L71" i="69" s="1"/>
  <c r="D158" i="69" s="1"/>
  <c r="G55" i="69"/>
  <c r="K54" i="69"/>
  <c r="L54" i="69" s="1"/>
  <c r="K53" i="69"/>
  <c r="L53" i="69" s="1"/>
  <c r="K52" i="69"/>
  <c r="L52" i="69" s="1"/>
  <c r="K51" i="69"/>
  <c r="L51" i="69" s="1"/>
  <c r="K50" i="69"/>
  <c r="L50" i="69" s="1"/>
  <c r="L55" i="69" s="1"/>
  <c r="L56" i="69" s="1"/>
  <c r="L57" i="69" s="1"/>
  <c r="D157" i="69" s="1"/>
  <c r="G41" i="69"/>
  <c r="K40" i="69"/>
  <c r="L40" i="69" s="1"/>
  <c r="K39" i="69"/>
  <c r="L39" i="69" s="1"/>
  <c r="K38" i="69"/>
  <c r="L38" i="69" s="1"/>
  <c r="K37" i="69"/>
  <c r="L37" i="69" s="1"/>
  <c r="K36" i="69"/>
  <c r="L36" i="69" s="1"/>
  <c r="L41" i="69" s="1"/>
  <c r="L42" i="69" s="1"/>
  <c r="L43" i="69" s="1"/>
  <c r="D156" i="69" s="1"/>
  <c r="L42" i="82" l="1"/>
  <c r="L43" i="82" s="1"/>
  <c r="L44" i="82" s="1"/>
  <c r="D56" i="82" s="1"/>
  <c r="D57" i="82" s="1"/>
  <c r="L51" i="81"/>
  <c r="L52" i="81" s="1"/>
  <c r="L53" i="81" s="1"/>
  <c r="D108" i="81" s="1"/>
  <c r="L99" i="81"/>
  <c r="L100" i="81" s="1"/>
  <c r="L101" i="81" s="1"/>
  <c r="D114" i="81" s="1"/>
  <c r="L37" i="78"/>
  <c r="L64" i="78"/>
  <c r="L66" i="78" s="1"/>
  <c r="L45" i="78"/>
  <c r="L46" i="78" s="1"/>
  <c r="L47" i="78" s="1"/>
  <c r="D72" i="78" s="1"/>
  <c r="L40" i="74"/>
  <c r="L69" i="70"/>
  <c r="L70" i="70" s="1"/>
  <c r="L71" i="70" s="1"/>
  <c r="D84" i="70" s="1"/>
  <c r="L40" i="70"/>
  <c r="L41" i="70" s="1"/>
  <c r="L42" i="70" s="1"/>
  <c r="D77" i="70" s="1"/>
  <c r="L61" i="81"/>
  <c r="L62" i="81" s="1"/>
  <c r="L63" i="81" s="1"/>
  <c r="D109" i="81" s="1"/>
  <c r="L39" i="81"/>
  <c r="L40" i="81" s="1"/>
  <c r="L41" i="81" s="1"/>
  <c r="D107" i="81" s="1"/>
  <c r="L72" i="81"/>
  <c r="L73" i="81" s="1"/>
  <c r="L74" i="81" s="1"/>
  <c r="D110" i="81" s="1"/>
  <c r="L41" i="80"/>
  <c r="L42" i="80" s="1"/>
  <c r="L43" i="80" s="1"/>
  <c r="D156" i="80" s="1"/>
  <c r="L84" i="80"/>
  <c r="L85" i="80" s="1"/>
  <c r="L86" i="80" s="1"/>
  <c r="D159" i="80" s="1"/>
  <c r="L126" i="80"/>
  <c r="L127" i="80" s="1"/>
  <c r="L128" i="80" s="1"/>
  <c r="D162" i="80" s="1"/>
  <c r="L69" i="79"/>
  <c r="L70" i="79" s="1"/>
  <c r="L71" i="79" s="1"/>
  <c r="D158" i="79" s="1"/>
  <c r="L115" i="79"/>
  <c r="L116" i="79" s="1"/>
  <c r="L117" i="79" s="1"/>
  <c r="D161" i="79" s="1"/>
  <c r="L41" i="79"/>
  <c r="L42" i="79" s="1"/>
  <c r="L43" i="79" s="1"/>
  <c r="D156" i="79" s="1"/>
  <c r="L84" i="79"/>
  <c r="L85" i="79" s="1"/>
  <c r="L86" i="79" s="1"/>
  <c r="D159" i="79" s="1"/>
  <c r="L126" i="79"/>
  <c r="L127" i="79" s="1"/>
  <c r="L128" i="79" s="1"/>
  <c r="D162" i="79" s="1"/>
  <c r="L69" i="77"/>
  <c r="L70" i="77" s="1"/>
  <c r="L71" i="77" s="1"/>
  <c r="D158" i="77" s="1"/>
  <c r="L84" i="77"/>
  <c r="L85" i="77" s="1"/>
  <c r="L86" i="77" s="1"/>
  <c r="D159" i="77" s="1"/>
  <c r="L126" i="77"/>
  <c r="L127" i="77" s="1"/>
  <c r="L128" i="77" s="1"/>
  <c r="D162" i="77" s="1"/>
  <c r="L41" i="77"/>
  <c r="L42" i="77" s="1"/>
  <c r="L43" i="77" s="1"/>
  <c r="D156" i="77" s="1"/>
  <c r="L115" i="76"/>
  <c r="L116" i="76" s="1"/>
  <c r="L117" i="76" s="1"/>
  <c r="D161" i="76" s="1"/>
  <c r="D164" i="76" s="1"/>
  <c r="L126" i="75"/>
  <c r="L127" i="75" s="1"/>
  <c r="L128" i="75" s="1"/>
  <c r="D162" i="75" s="1"/>
  <c r="D164" i="75" s="1"/>
  <c r="L126" i="73"/>
  <c r="L127" i="73" s="1"/>
  <c r="L128" i="73" s="1"/>
  <c r="D162" i="73" s="1"/>
  <c r="D164" i="73" s="1"/>
  <c r="L126" i="72"/>
  <c r="L127" i="72" s="1"/>
  <c r="L128" i="72" s="1"/>
  <c r="D162" i="72" s="1"/>
  <c r="D164" i="72"/>
  <c r="L52" i="70"/>
  <c r="L53" i="70" s="1"/>
  <c r="L54" i="70" s="1"/>
  <c r="D78" i="70" s="1"/>
  <c r="L126" i="69"/>
  <c r="L127" i="69" s="1"/>
  <c r="L128" i="69" s="1"/>
  <c r="D162" i="69" s="1"/>
  <c r="D164" i="69" s="1"/>
  <c r="K109" i="53"/>
  <c r="L109" i="53" s="1"/>
  <c r="K99" i="53"/>
  <c r="K100" i="53"/>
  <c r="K101" i="53"/>
  <c r="K102" i="53"/>
  <c r="K98" i="53"/>
  <c r="K85" i="53"/>
  <c r="K86" i="53"/>
  <c r="K87" i="53"/>
  <c r="K84" i="53"/>
  <c r="K71" i="53"/>
  <c r="K72" i="53"/>
  <c r="K70" i="53"/>
  <c r="K59" i="53"/>
  <c r="K48" i="53"/>
  <c r="K49" i="53"/>
  <c r="K37" i="53"/>
  <c r="K47" i="53"/>
  <c r="K36" i="53"/>
  <c r="D80" i="78" l="1"/>
  <c r="L41" i="74"/>
  <c r="D57" i="74" s="1"/>
  <c r="D64" i="74" s="1"/>
  <c r="D65" i="71"/>
  <c r="D85" i="70"/>
  <c r="D115" i="81"/>
  <c r="D164" i="80"/>
  <c r="D164" i="79"/>
  <c r="D164" i="77"/>
  <c r="L110" i="53"/>
  <c r="L111" i="53" s="1"/>
  <c r="L112" i="53" s="1"/>
  <c r="D152" i="53" s="1"/>
  <c r="G128" i="53"/>
  <c r="L127" i="53"/>
  <c r="L126" i="53"/>
  <c r="L125" i="53"/>
  <c r="L124" i="53"/>
  <c r="L123" i="53"/>
  <c r="L122" i="53"/>
  <c r="L121" i="53"/>
  <c r="L120" i="53"/>
  <c r="L119" i="53"/>
  <c r="L118" i="53"/>
  <c r="L117" i="53"/>
  <c r="G103" i="53"/>
  <c r="L102" i="53"/>
  <c r="L101" i="53"/>
  <c r="L100" i="53"/>
  <c r="L99" i="53"/>
  <c r="L98" i="53"/>
  <c r="L87" i="53"/>
  <c r="L86" i="53"/>
  <c r="L85" i="53"/>
  <c r="L84" i="53"/>
  <c r="L72" i="53"/>
  <c r="L71" i="53"/>
  <c r="L70" i="53"/>
  <c r="L59" i="53"/>
  <c r="L49" i="53"/>
  <c r="L48" i="53"/>
  <c r="L47" i="53"/>
  <c r="L37" i="53"/>
  <c r="L36" i="53"/>
  <c r="L73" i="53" l="1"/>
  <c r="L74" i="53" s="1"/>
  <c r="L75" i="53" s="1"/>
  <c r="D149" i="53" s="1"/>
  <c r="L103" i="53"/>
  <c r="L104" i="53" s="1"/>
  <c r="L105" i="53" s="1"/>
  <c r="D151" i="53" s="1"/>
  <c r="L88" i="53"/>
  <c r="L89" i="53" s="1"/>
  <c r="L90" i="53" s="1"/>
  <c r="D150" i="53" s="1"/>
  <c r="L60" i="53"/>
  <c r="L61" i="53" s="1"/>
  <c r="L62" i="53" s="1"/>
  <c r="D148" i="53" s="1"/>
  <c r="L50" i="53"/>
  <c r="L51" i="53" s="1"/>
  <c r="L52" i="53" s="1"/>
  <c r="D147" i="53" s="1"/>
  <c r="L38" i="53"/>
  <c r="L39" i="53" s="1"/>
  <c r="L40" i="53" s="1"/>
  <c r="D146" i="53" s="1"/>
  <c r="L128" i="53"/>
  <c r="L129" i="53" s="1"/>
  <c r="L130" i="53" s="1"/>
  <c r="D153" i="53" s="1"/>
  <c r="D154" i="53" l="1"/>
</calcChain>
</file>

<file path=xl/sharedStrings.xml><?xml version="1.0" encoding="utf-8"?>
<sst xmlns="http://schemas.openxmlformats.org/spreadsheetml/2006/main" count="4001" uniqueCount="373">
  <si>
    <t>ÇELİK KAPI</t>
  </si>
  <si>
    <t>Kod</t>
  </si>
  <si>
    <t xml:space="preserve">Satış Birimi </t>
  </si>
  <si>
    <t xml:space="preserve">Ölçü </t>
  </si>
  <si>
    <t>Renk</t>
  </si>
  <si>
    <t>Miktar</t>
  </si>
  <si>
    <t>Birim</t>
  </si>
  <si>
    <t xml:space="preserve">Birim Fiyatı </t>
  </si>
  <si>
    <t xml:space="preserve">Tutar </t>
  </si>
  <si>
    <t>Adet</t>
  </si>
  <si>
    <t>Tutar Toplam</t>
  </si>
  <si>
    <t>K.D.V. %20</t>
  </si>
  <si>
    <t>* Kasa 1,2 mm - Kanat 1,2 mm Dkp Sac</t>
  </si>
  <si>
    <t xml:space="preserve">Yekün </t>
  </si>
  <si>
    <t>* Monoblok Sistem Daf Kilit</t>
  </si>
  <si>
    <t>* Yüzey 10 mm Pvc Kaplama</t>
  </si>
  <si>
    <t xml:space="preserve">İÇ ODA KAPISI </t>
  </si>
  <si>
    <t xml:space="preserve">* 6 mm Pvc Yüzey &amp; Lake </t>
  </si>
  <si>
    <t xml:space="preserve">* Kasa 36 mm Pvc&amp;Lake </t>
  </si>
  <si>
    <t>* Cnc Motifli Model</t>
  </si>
  <si>
    <t xml:space="preserve">* Izgara Seren FingerJoint </t>
  </si>
  <si>
    <t xml:space="preserve">MUTFAK DOLABI </t>
  </si>
  <si>
    <t>K.D.V. %10</t>
  </si>
  <si>
    <t xml:space="preserve">* Gövde Mdflam 18 mm Çamsan </t>
  </si>
  <si>
    <t>* Minifix &amp; Kavela Sistem</t>
  </si>
  <si>
    <t xml:space="preserve">GENEL ŞARTLAR </t>
  </si>
  <si>
    <t>1- Alıcı özellikleri belirtilen ürünlerinin;talebi doğrultusunda anlaşılmış satış şartlarını da kabul eder.</t>
  </si>
  <si>
    <t>2- Satıcı özellikleri belirtilen ürünlerini;talep doğrultusunda üretimini yapacağını kabul eder.</t>
  </si>
  <si>
    <t>3- Alıcı onayladığı siparişi değiştirmesi halinde firmanın uğrayacağı zararı karşılamak zorundadır.</t>
  </si>
  <si>
    <t xml:space="preserve">4- Ödemesi alınmamış siparişin sözleşmesi imzalanmış dahi olsa üretime alınmayacaktır. Satıcı sorumlu tutulamaz. </t>
  </si>
  <si>
    <t xml:space="preserve">5- Mücbir sebeplerden (yangın+deprem+kaza)kaynaklanan gecikmelerde satıcı mesul tutulamaz. </t>
  </si>
  <si>
    <t>6- Sevk tarihinden 3 gün içinde alıcı tarafından yazılı bildirimde bulunulmadığı takdirde eksiksiz teslim aldığını kabul eder.</t>
  </si>
  <si>
    <t>7- Alıcı sözleşmeyi imzalamadan önce;firmaya (vergi levhası,yetki belgesi,imza sirküleri)eksiksiz beyan eder.</t>
  </si>
  <si>
    <t>Türkiye İş Bankası</t>
  </si>
  <si>
    <t xml:space="preserve">Ziraat Bankası </t>
  </si>
  <si>
    <t xml:space="preserve">Albaraka </t>
  </si>
  <si>
    <t xml:space="preserve">Vakıflar Bankası </t>
  </si>
  <si>
    <t>Beydağı Vergi Dairesi / 1210461108</t>
  </si>
  <si>
    <t>2.Osb.6 Cadde No:6 Yeşilyurt/MALATYA</t>
  </si>
  <si>
    <t>444 0 932</t>
  </si>
  <si>
    <t>muhasebe@aykakapi.com.tr</t>
  </si>
  <si>
    <t>ORTKA YAPI ELEMANLARI ÜRETİM SAN.LTD.ŞTİ</t>
  </si>
  <si>
    <t>Beydağı Vergi Dairesi / 6480365207</t>
  </si>
  <si>
    <t>TR66 0020 3000 0056 3735 0000 02</t>
  </si>
  <si>
    <t>TR24 0006 4000 0018 6003 9367 45</t>
  </si>
  <si>
    <t>TR57 0001 5001 5800 7284 2692 06</t>
  </si>
  <si>
    <t>TR07 0001 0021 6935 0399 4450 09</t>
  </si>
  <si>
    <t>TR25 0020 3000 0770 5276 0000 01</t>
  </si>
  <si>
    <t>Garanti BBVA Bankası</t>
  </si>
  <si>
    <t>TR14 0006 2000 1120 0006 2913 29</t>
  </si>
  <si>
    <t>TR72 0001 0021 6994 2088 8850 01</t>
  </si>
  <si>
    <t xml:space="preserve">AYKA KAPI SANAYİ TİCARET ANONİM ŞİRKETİ </t>
  </si>
  <si>
    <t>* Menteşeler Samet Düz*Deve*Frenlidir</t>
  </si>
  <si>
    <t xml:space="preserve">*Kulp Modelleri Standarta göre verilmiştir. </t>
  </si>
  <si>
    <t>* Kapaklar AGT kartelasından seçilecek</t>
  </si>
  <si>
    <t xml:space="preserve">* Çekmece Rayları Samet Slide Mandallı </t>
  </si>
  <si>
    <t>* Muhtelif Dolaplar Minifix &amp; Kavela Sistem</t>
  </si>
  <si>
    <t xml:space="preserve">* Elbise Dolabında Boru Askı </t>
  </si>
  <si>
    <t>* Dolap Tasarımı karşılıklı Mutabakat ile yapılacaktır</t>
  </si>
  <si>
    <t xml:space="preserve">* Çekmece Rayları Samet Slide </t>
  </si>
  <si>
    <t>* Ayna Dahildir.</t>
  </si>
  <si>
    <t>*Lavabo Taşı Hariçtir.</t>
  </si>
  <si>
    <t xml:space="preserve">*Nakliye Hizmeti </t>
  </si>
  <si>
    <t xml:space="preserve">*Kurulum Montaj Hizmeti </t>
  </si>
  <si>
    <t xml:space="preserve">*Köpük Slikon Kapı Sarf Hizmeti </t>
  </si>
  <si>
    <t xml:space="preserve">* Kapaklar ****** Kapak </t>
  </si>
  <si>
    <t xml:space="preserve">* Çekmece Rayları Samet Slide Ahşap Yanaklıdır. </t>
  </si>
  <si>
    <t xml:space="preserve">* Portmanto Dolabında Kanca Askı </t>
  </si>
  <si>
    <t>* Kapaklar AGT &amp; Çamsan kartelasından seçilecek</t>
  </si>
  <si>
    <t xml:space="preserve">Gövde Renk </t>
  </si>
  <si>
    <t xml:space="preserve">Kapak Renk </t>
  </si>
  <si>
    <t xml:space="preserve">Metre </t>
  </si>
  <si>
    <t xml:space="preserve">PORTMANTO &amp; ELBİSE DOLABI </t>
  </si>
  <si>
    <t>m²</t>
  </si>
  <si>
    <t xml:space="preserve">m² </t>
  </si>
  <si>
    <t xml:space="preserve">BANYO DOLAPLARI </t>
  </si>
  <si>
    <t xml:space="preserve">İÇ ODA KAPISI AKSESUARLAR &amp; MOBİLYA GRUBU EK AKSESUARLAR </t>
  </si>
  <si>
    <t>Aksesuar Cinsi</t>
  </si>
  <si>
    <t>HİZMETLER &amp; MONTAJ</t>
  </si>
  <si>
    <t>* Taşıma Hizmeti</t>
  </si>
  <si>
    <t xml:space="preserve">YEKÜN İCMAALLERİ </t>
  </si>
  <si>
    <t xml:space="preserve">ÇELİK KAPI GRUBU </t>
  </si>
  <si>
    <t xml:space="preserve">İÇ ODA KAPI GRUBU </t>
  </si>
  <si>
    <t>MUTFAK GRUBU</t>
  </si>
  <si>
    <t>PORTMANTO GRUBU</t>
  </si>
  <si>
    <t xml:space="preserve">AKSESUARLAR </t>
  </si>
  <si>
    <t xml:space="preserve">HİZMETLER &amp; MONTAJ </t>
  </si>
  <si>
    <t xml:space="preserve">TOPLAM YEKÜN </t>
  </si>
  <si>
    <t xml:space="preserve">GEÇERLİLİK TARİHİ </t>
  </si>
  <si>
    <t xml:space="preserve">FİRMA UNVANLARI &amp; İBANLAR </t>
  </si>
  <si>
    <t>ORTKA YAPI ELEMANLARI ÜRETİM SAN.LTD.ŞTİ TL</t>
  </si>
  <si>
    <t xml:space="preserve">AYKA KAPI ADINA İMZA </t>
  </si>
  <si>
    <t xml:space="preserve">CARİ ÜNVANI ADINA İMZA KAŞE </t>
  </si>
  <si>
    <t xml:space="preserve">TARAFLARIN İMZASI VE NOTLARI </t>
  </si>
  <si>
    <t>*</t>
  </si>
  <si>
    <t>SATIŞI YAPAN FİRMA (BİRİNİ İŞARETLEYİNİZ)</t>
  </si>
  <si>
    <t>AYKA KAPI SANAYİ TİCARET ANONİM ŞİRKETİ</t>
  </si>
  <si>
    <t>VERGİ DAİRESİ : BEYDAĞI</t>
  </si>
  <si>
    <t>VERGİ NO: 6480365207</t>
  </si>
  <si>
    <t>VERGİ NO: 1210461108</t>
  </si>
  <si>
    <t>MAİL/TEL: muhasebe@aykakapi.com.tr / 444 0 932</t>
  </si>
  <si>
    <t>CARİ ÜNVANI</t>
  </si>
  <si>
    <t>VERGİ DAİRESİ / NO</t>
  </si>
  <si>
    <t>ADRES</t>
  </si>
  <si>
    <t>YETKİLİ</t>
  </si>
  <si>
    <t>TELEFON/MAİL</t>
  </si>
  <si>
    <t xml:space="preserve">TARAFLAR </t>
  </si>
  <si>
    <t>TARİH</t>
  </si>
  <si>
    <t xml:space="preserve">TEKLİF NUMARASI </t>
  </si>
  <si>
    <t xml:space="preserve">HAZIRLAYAN </t>
  </si>
  <si>
    <t>İSKONTO &amp; F.LİSTESİ</t>
  </si>
  <si>
    <t>ALICI BİLGİLERİ</t>
  </si>
  <si>
    <t xml:space="preserve">SATIŞI YAPAN TARAFINDAN DOLDURALACAKTIR </t>
  </si>
  <si>
    <t xml:space="preserve">MAHMUT SAYAR </t>
  </si>
  <si>
    <t xml:space="preserve">2026/1. LİSTE : </t>
  </si>
  <si>
    <t xml:space="preserve">FURKAN NAİM BÜKER </t>
  </si>
  <si>
    <t>UBEYDE SALKINI</t>
  </si>
  <si>
    <t xml:space="preserve">         TUĞRUL MELİH TÜRKYILMAZ </t>
  </si>
  <si>
    <t>TEKLİF TARİHİNDEN İTİBAREN</t>
  </si>
  <si>
    <t xml:space="preserve">     3 İŞ GÜNÜ </t>
  </si>
  <si>
    <t>7 İŞ GÜNÜ</t>
  </si>
  <si>
    <t>10 İŞ GÜNÜ</t>
  </si>
  <si>
    <t xml:space="preserve">FABRİKA TESLİM </t>
  </si>
  <si>
    <t>ŞANTİYE MONTAJ TESLİM</t>
  </si>
  <si>
    <t>NAKLİYE DAHİL MONTAJ HARİÇ TESLİM</t>
  </si>
  <si>
    <t>TESLİM TİPİ</t>
  </si>
  <si>
    <t>ÖDEME ŞARTLARI</t>
  </si>
  <si>
    <t xml:space="preserve">KREDİ KARTI TEK ÇEKİM </t>
  </si>
  <si>
    <t xml:space="preserve">ÖDEMESİ ALINMAYAN SİPARİŞ ÜRETİME VERİLMEZ </t>
  </si>
  <si>
    <t>9- İşbu sözleşmeden doğacak ihtilaflarda Malatya Mahkemeleri ve İcra Daireleri yetkilidir.</t>
  </si>
  <si>
    <t>10- İşbu sözleşme ___ / ___ / 20___ tarihinde iki nüsha olarak imzalanmış ve yürürlüğe girmiştir.</t>
  </si>
  <si>
    <t>8- Ürünler teslim tarihinden itibaren 2 (iki) yıl süreyle imalat hatalarına karşı garantilidir.
Kullanım hatası, yanlış montaj, üçüncü şahıs müdahalesi, darbe, şantiye koşulları, depolama hatası ve satıcı kontrolü dışındaki dış etkenlerden kaynaklanan hasarlar garanti kapsamı dışındadır.</t>
  </si>
  <si>
    <t>Sevkiyat öncesi bakiye tahsil edilmeden ürün teslim edilmez.</t>
  </si>
  <si>
    <t xml:space="preserve">Liste Fiyatı </t>
  </si>
  <si>
    <t>İskonto %</t>
  </si>
  <si>
    <t xml:space="preserve">Birim Net Fiyatı </t>
  </si>
  <si>
    <t xml:space="preserve">LAMİNANT PARKE BÖLÜMÜ </t>
  </si>
  <si>
    <t xml:space="preserve">Parke Rengi </t>
  </si>
  <si>
    <t xml:space="preserve">PARKE </t>
  </si>
  <si>
    <t>SÖZLEŞME</t>
  </si>
  <si>
    <t>YÖNETİM</t>
  </si>
  <si>
    <t xml:space="preserve">PEŞİN </t>
  </si>
  <si>
    <t xml:space="preserve"> </t>
  </si>
  <si>
    <t xml:space="preserve">KREDİ KARTI 2-4 TAKSİT </t>
  </si>
  <si>
    <t xml:space="preserve"> KREDİ KARTI 6 TAKSİT</t>
  </si>
  <si>
    <t xml:space="preserve">   </t>
  </si>
  <si>
    <t xml:space="preserve">DİĞER </t>
  </si>
  <si>
    <t>* Bu teklif, firmamızın Mikro ERP MRP II üretim, maliyetlendirme ve stok yönetim sistemi esas alınarak hazırlanmıştır. Onaylanan siparişler sistem üzerinden üretim iş emrine dönüştürülmektedir. Teklif onayı sonrası fiyat ve teknik içerik sistem kaydı ile kesinlik kazanır.</t>
  </si>
  <si>
    <t>* TSE 12655 belgeli</t>
  </si>
  <si>
    <t>Çelik Kapı Teknik Özellikler Temsilci Tarafından doldurulur.</t>
  </si>
  <si>
    <t>İç Oda Kapısı Teknik Özellikler Temsilci Tarafından doldurulur.</t>
  </si>
  <si>
    <t>Mutfak Dolabı Teknik Özellikler Temsilci Tarafından doldurulur.</t>
  </si>
  <si>
    <t>Portmanto Dolabı Teknik Özellikler Temsilci Tarafından doldurulur.</t>
  </si>
  <si>
    <t>Banyo Dolabı Teknik Özellikler Temsilci Tarafından doldurulur.</t>
  </si>
  <si>
    <t>Laminant Parke Teknik Özellikler Temsilci Tarafından doldurulur.</t>
  </si>
  <si>
    <t>* 8 mm -10 mm - 12 mm</t>
  </si>
  <si>
    <t>* Süpürgelik Dahildir.</t>
  </si>
  <si>
    <t>* Şilte Dahildir.</t>
  </si>
  <si>
    <t>Hizmet Notları Şartları Temsilci Tarafından doldurulur.</t>
  </si>
  <si>
    <t>BEYDAĞI/9590054427</t>
  </si>
  <si>
    <t xml:space="preserve">ŞİFA MAHALLESİ BUHARA CADDESİ VAHAP YILDIRIM İŞ MERKEZİ NO:217 KAT 5 MALATYA </t>
  </si>
  <si>
    <t xml:space="preserve">VAHAP YILDIRIM </t>
  </si>
  <si>
    <t>0537 724 17 44</t>
  </si>
  <si>
    <t>152.06.2206</t>
  </si>
  <si>
    <t>Milano Pro Çelik Kapı Ayarlı 3 ( 2 m² )</t>
  </si>
  <si>
    <t>152.06.2803</t>
  </si>
  <si>
    <t xml:space="preserve">Yangın TSE EN 16034 Çelik Kapı : 3 (2 m²) </t>
  </si>
  <si>
    <t>152.26.013</t>
  </si>
  <si>
    <t>152.26.030</t>
  </si>
  <si>
    <t>Pvc Membran-1 Kanat-Pvc Kasa 12 cm 9cm 10mm Tk</t>
  </si>
  <si>
    <t xml:space="preserve">10-12 cm kasa </t>
  </si>
  <si>
    <t>Camlı Çıtalı (Cam Hariç) Fiyatı</t>
  </si>
  <si>
    <t>152.44.0050</t>
  </si>
  <si>
    <t>Mdflam Gövde Beyaz-Kapak U Acrilik Renkli Özel Alm</t>
  </si>
  <si>
    <t>Beyaz</t>
  </si>
  <si>
    <t>Acrilik+Alm Kapaklı+Led</t>
  </si>
  <si>
    <t>152.44.0150</t>
  </si>
  <si>
    <t>152.44.0205</t>
  </si>
  <si>
    <t>Portmanto-Mdflam Gövde Beyaz-Kapak Özel+Alm+Akrilik</t>
  </si>
  <si>
    <t>Yatak Oda-Mdflam Gövde Beyaz-Kapak Özel+Alm+Akrilik</t>
  </si>
  <si>
    <t>Yüklük-Mdflam Gövde Beyaz-Kapak Özel+Alm+Akrilik</t>
  </si>
  <si>
    <t>Acrilik +Alm+Led</t>
  </si>
  <si>
    <t>Mobb.60.Tz</t>
  </si>
  <si>
    <t>Mobb.80.Tz</t>
  </si>
  <si>
    <t>Mobb.100.Tz</t>
  </si>
  <si>
    <t>Mobb.120.Tz</t>
  </si>
  <si>
    <t>60 cm Banyo Alt + Üst Modül Tezgah Üstü+Ledli Aynalı</t>
  </si>
  <si>
    <t>80 cm Banyo Alt + Üst Modül Tezgah Üstü+Ledli Aynalı</t>
  </si>
  <si>
    <t>100 cm Banyo Alt + Üst Modül Tezgah Üstü+Ledli Aynalı</t>
  </si>
  <si>
    <t>120 cm Banyo Alt + Üst Modül Tezgah Üstü+Ledli Aynalı</t>
  </si>
  <si>
    <t xml:space="preserve">Oda </t>
  </si>
  <si>
    <t xml:space="preserve">Wc </t>
  </si>
  <si>
    <t xml:space="preserve">Siyah </t>
  </si>
  <si>
    <t xml:space="preserve">İç Oda Kapısı Kolu Kare Rozetli </t>
  </si>
  <si>
    <t xml:space="preserve">Evye Altı Folyo </t>
  </si>
  <si>
    <t xml:space="preserve">Kaşıklık </t>
  </si>
  <si>
    <t>Çöp Kovası Kapağa Sabitli</t>
  </si>
  <si>
    <t>153.25.0017</t>
  </si>
  <si>
    <t xml:space="preserve">Hdf Aura 10 mm 1930*1200 mm Derzli </t>
  </si>
  <si>
    <t>Seçilecek</t>
  </si>
  <si>
    <t>151.09.0382</t>
  </si>
  <si>
    <t xml:space="preserve">Pvc Mdf Süpürgelik 9 cm 10 mm 280 cm </t>
  </si>
  <si>
    <t>Metre</t>
  </si>
  <si>
    <t xml:space="preserve">Milano Pro Çelik Kapı Ayarlı 3 ( 2 m² )+Kaplamalı </t>
  </si>
  <si>
    <t>* Montaj Hariçtir.</t>
  </si>
  <si>
    <t xml:space="preserve">* Üst Ayna KurtAğzı ile Yapılır </t>
  </si>
  <si>
    <t xml:space="preserve">*Led dahildir. </t>
  </si>
  <si>
    <t>* Tezgah Üstü Lavabo Planlanmıştır.</t>
  </si>
  <si>
    <t xml:space="preserve">* Aliminyum Cam Kapağa göre hesaplanmıştır. </t>
  </si>
  <si>
    <t xml:space="preserve">*Led Kanallı ve Ledli Hesaplanmıştır. </t>
  </si>
  <si>
    <t xml:space="preserve">* Kapaklar Acrilik ve Alüminyum Cam Kapak </t>
  </si>
  <si>
    <t xml:space="preserve">* Alimyum Kapak olan Yerlerde Led Kanalı ve Led Dahildir. </t>
  </si>
  <si>
    <t xml:space="preserve">* Çekmece Rayları Samet SmartBox Çelik  Yanaklıdır. </t>
  </si>
  <si>
    <t xml:space="preserve">* 6 mm Pvc Yüzey </t>
  </si>
  <si>
    <t xml:space="preserve">*Kulp  Aliminyum Gola Kulp'a Göre verilmiştir. </t>
  </si>
  <si>
    <t xml:space="preserve">* Modüler olarak 10 cm ayağa göre hesaplanmıştır </t>
  </si>
  <si>
    <t xml:space="preserve">* Sözleşme İmzası sonrası ; Mimar Çizimi her daire onay imzası alınacaktır. </t>
  </si>
  <si>
    <t>Çamsan Kartela</t>
  </si>
  <si>
    <t>* Kasa 1,5 mm - Kanat 1,2 mm Dkp Sac</t>
  </si>
  <si>
    <t xml:space="preserve">* Monoblok Sistem Daf Kilit </t>
  </si>
  <si>
    <t>* Yüzey 10 mm Pvc Kaplama Model Belirlenecek (Ultralam veya Pvc Modeller)</t>
  </si>
  <si>
    <t xml:space="preserve">* Kanat İçi 80 kg m3 Taş yünü </t>
  </si>
  <si>
    <t xml:space="preserve">* Isı ve Ses Yalıtımı  </t>
  </si>
  <si>
    <t>* TS EN 12655 Hırsıza Dirençli Çelik Kapı Sertifikalı</t>
  </si>
  <si>
    <t xml:space="preserve">* Yangın 120 Dk dayanımlı belgelidir. </t>
  </si>
  <si>
    <t>TKL-2026-2502-1458</t>
  </si>
  <si>
    <t>Mutfak Mdflam Gövde Beyaz-Kapak U Acrilik Renkli Özel Alm</t>
  </si>
  <si>
    <t>ÖZ YILDIRIM İNŞAAT LTD.ŞTİ</t>
  </si>
  <si>
    <t>ALİ AKIN</t>
  </si>
  <si>
    <t xml:space="preserve">TERCİH MİMARLIK İNŞAAT </t>
  </si>
  <si>
    <t xml:space="preserve">TEKLİF FORMU </t>
  </si>
  <si>
    <t>-</t>
  </si>
  <si>
    <t>ANKARA PROJE</t>
  </si>
  <si>
    <t>OPERASYON BİRİMİ</t>
  </si>
  <si>
    <t>152.06.2105</t>
  </si>
  <si>
    <t>Trend  Pro Çelik Kapı Ayarlı 2 ( 2 m² )</t>
  </si>
  <si>
    <t>20-25 Kasa - 90*200</t>
  </si>
  <si>
    <t>Belirlenecek</t>
  </si>
  <si>
    <t>152.06.2802</t>
  </si>
  <si>
    <t xml:space="preserve">Yangın TSE EN 16034 Çelik Kapı : 2 (2 m²) </t>
  </si>
  <si>
    <t>152.06.2903</t>
  </si>
  <si>
    <t xml:space="preserve">Demir Kapı DK 1 (100*220) </t>
  </si>
  <si>
    <t>152.06.2905</t>
  </si>
  <si>
    <t>Demir Kapı DK 1 (100*220) Çift  Menfezli</t>
  </si>
  <si>
    <t xml:space="preserve">* Çift Renk Yüzey </t>
  </si>
  <si>
    <t xml:space="preserve">*İzalasyon Malzeme İzocam </t>
  </si>
  <si>
    <t>* Standart Kol ve Dürbünlü</t>
  </si>
  <si>
    <t>152.26.023</t>
  </si>
  <si>
    <t>Lake-1 Kanat - Pvc Kasa Pervaz 12 cm -9cm*10mm Tk</t>
  </si>
  <si>
    <t>12*88*202</t>
  </si>
  <si>
    <t>152.26.023-Ö</t>
  </si>
  <si>
    <t>12*140*202</t>
  </si>
  <si>
    <t>152.26.023-Ö1</t>
  </si>
  <si>
    <t xml:space="preserve">12*125*202*Raylı </t>
  </si>
  <si>
    <t xml:space="preserve">* 6 mm Lake </t>
  </si>
  <si>
    <t xml:space="preserve">* Kasa 36 mm Pvc </t>
  </si>
  <si>
    <t xml:space="preserve">* Fitil dahildir. </t>
  </si>
  <si>
    <t xml:space="preserve">*Lake Modeller Max:4 dk lık modeller için geçerlidir. </t>
  </si>
  <si>
    <t xml:space="preserve">*Kasa Pervaz ve Kanat Kartonludur. </t>
  </si>
  <si>
    <t>* Kanat Pvc Olması halinde İskonto hariç 2.010 TL düşülecektir.</t>
  </si>
  <si>
    <t xml:space="preserve">TERCİH MİMARLIK ADINA </t>
  </si>
  <si>
    <t>1-Belirtilen fiyatlara KDV  hariçtir.</t>
  </si>
  <si>
    <t>2-İşbu teklif, düzenleme tarihinden itibaren ___ gün geçerlidir.</t>
  </si>
  <si>
    <t>3-Ürün ölçü ve model onayı müşteri tarafından teyit edilmeden üretime başlanmaz.</t>
  </si>
  <si>
    <t>4-Ödeme şartları teklif üzerinde belirtilen şekilde uygulanacaktır.</t>
  </si>
  <si>
    <t>5-Montaj ve teslim süreleri (varsa) sipariş onayı ve ödeme planına göre planlanacaktır.</t>
  </si>
  <si>
    <t xml:space="preserve">TEKLİF NOTLARI </t>
  </si>
  <si>
    <t>Bu teklif tarafımızca hazırlanmış olup, müşteri onayı sonrası sözleşme niteliği kazanacaktır.</t>
  </si>
  <si>
    <t>TKL-2026-0303-1034</t>
  </si>
  <si>
    <t>152.06.2204</t>
  </si>
  <si>
    <t>Milano Pro Çelik Kapı Ayarlı 1 ( 2 m² )</t>
  </si>
  <si>
    <t xml:space="preserve">*Kilit Menteşe Kol Standart Dahildir. </t>
  </si>
  <si>
    <t xml:space="preserve">QNCP GROUP </t>
  </si>
  <si>
    <t xml:space="preserve">AHMET ÖZER </t>
  </si>
  <si>
    <t>26.03.6-12.09</t>
  </si>
  <si>
    <t>152.26.008</t>
  </si>
  <si>
    <t>Pvc Membran-1 Kanat 20 cm Kasa 8 cm 8 mm PervazTK</t>
  </si>
  <si>
    <t>20*90*210</t>
  </si>
  <si>
    <t>152.26.009</t>
  </si>
  <si>
    <t>Pvc Membran-1 Camlı Kanat 20 cm Kasa 8 cm 8 mm PervazTK</t>
  </si>
  <si>
    <t>20*90*211</t>
  </si>
  <si>
    <t>Pvc Membran-1.5 Yavru Camlı Kanat 20 cm Kasa 8 cm 8 mm PervazTK</t>
  </si>
  <si>
    <t xml:space="preserve">* Kilit Menteşe Fitil Dahildir </t>
  </si>
  <si>
    <t xml:space="preserve">* Model Katalogdan seçilir. </t>
  </si>
  <si>
    <t>* Kasa 36 mm Pvc</t>
  </si>
  <si>
    <t>* Kasa Pervaz Ayrı Paletlidir</t>
  </si>
  <si>
    <t xml:space="preserve">*Kanat 50 adet'e kadar paletlenir </t>
  </si>
  <si>
    <t xml:space="preserve">2026/1. LİSTE : 50 </t>
  </si>
  <si>
    <t>,</t>
  </si>
  <si>
    <t>TEKLİF ŞARTLARI</t>
  </si>
  <si>
    <t>17.000 USD PEŞİNAT-KALAN ÜRÜN TESLİMDE</t>
  </si>
  <si>
    <t>10- İşbu sözleşme 10 /03 / 2026tarihinde iki nüsha olarak imzalanmış ve yürürlüğe girmiştir.</t>
  </si>
  <si>
    <t>QNCP GROUP İNŞAAT İHR.İTH.SAN. VE TİC.A.Ş.</t>
  </si>
  <si>
    <t>KOZYATAĞI /6310787044 Mersis No:0631078704400001 Tic.Sicil No: 466284-5</t>
  </si>
  <si>
    <t xml:space="preserve">Barbaros Mahallesi Ak Zambak Sokak UPHILL Towers Sitesi No:3B İç kapı No : 108 Ataşehir İstanbul </t>
  </si>
  <si>
    <t>0530 151 76 27</t>
  </si>
  <si>
    <t xml:space="preserve">2026/1. LİSTE : ONAYLANAN İSKONTO ORANI %50 'DİR </t>
  </si>
  <si>
    <t xml:space="preserve">* Fitil Dahildir. </t>
  </si>
  <si>
    <t>* Kasa Ölçüsü 20 cmdir.</t>
  </si>
  <si>
    <t xml:space="preserve">QNCP GROUP İNŞAAT İHR.İTH.SAN. VE TİC.A.Ş. Adına </t>
  </si>
  <si>
    <t xml:space="preserve">QNCP GROUP İNŞAAT İHR.İTH.SAN. VE TİC.A.Ş. Adına Kaşe İmza  </t>
  </si>
  <si>
    <t>152.06.2901</t>
  </si>
  <si>
    <t xml:space="preserve">Toki Çelik Kapı : 1 (2 m²) </t>
  </si>
  <si>
    <t xml:space="preserve">Toki Demir Kapı DK 1 (100*220) </t>
  </si>
  <si>
    <t>15-20*90*200</t>
  </si>
  <si>
    <t>20*93*200</t>
  </si>
  <si>
    <t>152.06.2907</t>
  </si>
  <si>
    <t>Toki Demir Kapı DK 5 (160*220) Çift Menfez</t>
  </si>
  <si>
    <t>15-20*130*200</t>
  </si>
  <si>
    <t>152.06.2804</t>
  </si>
  <si>
    <t xml:space="preserve">Toki Yangın TSE Çelik Kapı : 1 (2 m²) </t>
  </si>
  <si>
    <t>Toki Demir Kapı DK 1 (100*220) Çift  Menfez</t>
  </si>
  <si>
    <t>152.06.2904</t>
  </si>
  <si>
    <t>Toki Demir Kapı DK 2 -100*220 (Duman Sızdırmaz)</t>
  </si>
  <si>
    <t>15-20*90*180</t>
  </si>
  <si>
    <t>15-20*90*185</t>
  </si>
  <si>
    <t>152.06.2951</t>
  </si>
  <si>
    <t xml:space="preserve">Şaft Kapağı 0,75 m² </t>
  </si>
  <si>
    <t>50*120</t>
  </si>
  <si>
    <t xml:space="preserve">SOYAŞ GRUP İNŞ.TİC. VE SAN. AŞ. &amp; MORKOÇ GRUP İNŞ SAN.TİC.LTD.ŞTİ İŞ ORTAKLIĞI </t>
  </si>
  <si>
    <t xml:space="preserve">SENA TOPRAK </t>
  </si>
  <si>
    <t>sktoprak@soyasgrup.com</t>
  </si>
  <si>
    <t>Koyunoğlu Toki 160 Konut Projesi</t>
  </si>
  <si>
    <t>261303_1058</t>
  </si>
  <si>
    <t xml:space="preserve">TEKLİF ŞARTLAR </t>
  </si>
  <si>
    <t>* Daf Monoblok Kilit</t>
  </si>
  <si>
    <t xml:space="preserve">* Kasa 2 mm </t>
  </si>
  <si>
    <t xml:space="preserve">*Toki Şartnamesine Uygundur </t>
  </si>
  <si>
    <t xml:space="preserve">* Çelik Kapı Modeli Çift Renk Yüzey Laminoks </t>
  </si>
  <si>
    <t xml:space="preserve">*İzalasyon Malzeme 150 kg m3 Taş Yünü </t>
  </si>
  <si>
    <t>2-İşbu teklif, düzenleme tarihinden itibaren 3 iş günü geçerlidir.</t>
  </si>
  <si>
    <t xml:space="preserve">SÖZLEŞME </t>
  </si>
  <si>
    <t xml:space="preserve">AYKA KAPI&amp;ORTKA ADINA İMZA </t>
  </si>
  <si>
    <t xml:space="preserve">ERDEMİRLER İNŞAAT </t>
  </si>
  <si>
    <t>152.06.2801</t>
  </si>
  <si>
    <t xml:space="preserve">Yangın TSE EN 16034 Çelik Kapı : 1 (2 m²) </t>
  </si>
  <si>
    <t>152.26.001</t>
  </si>
  <si>
    <t>Pvc Membran-1 Kanat-Pvc Kasa 10 cm-9 cm 8 mm Takım</t>
  </si>
  <si>
    <t>152.26.001+</t>
  </si>
  <si>
    <t>Pvc Membran-1 Kanat-Pvc Kasa 10 cm-9 cm 8 mm Takım Wc</t>
  </si>
  <si>
    <t>152.26.001+Ray</t>
  </si>
  <si>
    <t>* 6 mm Pvc Yüzey &amp; Lake farkı liste fiyatı takım 4785 tl +kdv</t>
  </si>
  <si>
    <t xml:space="preserve">* Raylı Kapıda Ray Mekanizması dahildir. </t>
  </si>
  <si>
    <t xml:space="preserve">* Aliminyum Serenli Çelik Kapı </t>
  </si>
  <si>
    <t>* Katalog Modelleri geçerlidir</t>
  </si>
  <si>
    <t xml:space="preserve">Mdflam Gövde Beyaz-Kapak u Acrilik Renkli Metre </t>
  </si>
  <si>
    <t>152.44.0009</t>
  </si>
  <si>
    <t>152.44.0204</t>
  </si>
  <si>
    <t>Mdflam Gövde Beyaz-Kapak Acrilik Beyaz m²</t>
  </si>
  <si>
    <t xml:space="preserve">MAKSEM YAPI AŞ </t>
  </si>
  <si>
    <t>KASIMPAŞA VERGİ DAİRESİ 6110555300</t>
  </si>
  <si>
    <t xml:space="preserve">İMRAHOR CADDESİ KERVANSARAY SOKAK MAKSEM İŞ MERKEZİ NO:30 BEYOĞLU İSTANBUL </t>
  </si>
  <si>
    <t xml:space="preserve">BİLAL AYDOĞAN-SAİD ASLANOĞLU </t>
  </si>
  <si>
    <t>info@maksem.com.tr</t>
  </si>
  <si>
    <t xml:space="preserve">SÖZLEŞME NUMARASI </t>
  </si>
  <si>
    <t>152.06.2952</t>
  </si>
  <si>
    <t xml:space="preserve">Şaft Kapağı 1,00 m² </t>
  </si>
  <si>
    <t xml:space="preserve">Toki DK 1 (20-25*100*220) </t>
  </si>
  <si>
    <t>Toki DK 2 (20-25*100*220) (Duman Sızdırmaz)</t>
  </si>
  <si>
    <t>Toki DK 1 (20-25*100*220) Çift  Menfez</t>
  </si>
  <si>
    <t xml:space="preserve">Bilal AYDOĞAN Beyde </t>
  </si>
  <si>
    <t>* Kasa 2 mm - Kanat Ara Sac 1,2 mm Dkp Sac</t>
  </si>
  <si>
    <t xml:space="preserve">* YK Kapılarda L kol + Panik Bar </t>
  </si>
  <si>
    <t>* Monoblok Sistem Daf Kilit&amp;Kancalı Üst Kilit</t>
  </si>
  <si>
    <t xml:space="preserve">* Çelik Kapı Aliminyum Seren </t>
  </si>
  <si>
    <t>* Yüzey 10 mm Pvc Kaplama&amp;Laminoks Yüzey</t>
  </si>
  <si>
    <t>* Kapı Kasaları 24 cm'e göre hesaplanmıştır</t>
  </si>
  <si>
    <t xml:space="preserve">* TSE 12655 belgeli Çelik Kapı </t>
  </si>
  <si>
    <t>* Çelik Kapı,Şaft Kapağı,Demir Kapılar,Duman Sızdırmaz Kapılar 869 konuta uygulanan tip ve özelliktetir.</t>
  </si>
  <si>
    <t xml:space="preserve">* EN 16034-1 Yangın Kapısı belgesi </t>
  </si>
  <si>
    <t>* Numaratör dahildir.</t>
  </si>
  <si>
    <t>10- İşbu sözleşme 27 / 03 / 2026 tarihinde iki nüsha olarak imzalanmış ve yürürlüğe girmiştir.</t>
  </si>
  <si>
    <t xml:space="preserve">MAKSEM YAPI AŞ ADINA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</si>
</sst>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quot;₺&quot;* #,##0.00_-;_-&quot;₺&quot;* &quot;-&quot;??_-;_-@_-"/>
    <numFmt numFmtId="164" formatCode="_-[$$-409]* #,##0.00_ ;_-[$$-409]* \-#,##0.00\ ;_-[$$-409]* &quot;-&quot;??_ ;_-@_ "/>
  </numFmts>
  <fonts count="35" x14ac:knownFonts="1">
    <font>
      <sz val="11"/>
      <color theme="1"/>
      <name val="Calibri"/>
      <family val="2"/>
      <scheme val="minor"/>
    </font>
    <font>
      <sz val="11"/>
      <color theme="1"/>
      <name val="Calibri"/>
      <family val="2"/>
      <scheme val="minor"/>
    </font>
    <font>
      <sz val="11"/>
      <color rgb="FF000066"/>
      <name val="Times New Roman"/>
      <family val="1"/>
      <charset val="162"/>
    </font>
    <font>
      <sz val="11"/>
      <color theme="1"/>
      <name val="Times New Roman"/>
      <family val="1"/>
      <charset val="162"/>
    </font>
    <font>
      <i/>
      <sz val="11"/>
      <color rgb="FF000066"/>
      <name val="Times New Roman"/>
      <family val="1"/>
      <charset val="162"/>
    </font>
    <font>
      <b/>
      <i/>
      <sz val="11"/>
      <color rgb="FF000066"/>
      <name val="Times New Roman"/>
      <family val="1"/>
      <charset val="162"/>
    </font>
    <font>
      <b/>
      <sz val="10"/>
      <color rgb="FF000066"/>
      <name val="Times New Roman"/>
      <family val="1"/>
      <charset val="162"/>
    </font>
    <font>
      <b/>
      <sz val="14"/>
      <color rgb="FF000066"/>
      <name val="Times New Roman"/>
      <family val="1"/>
      <charset val="162"/>
    </font>
    <font>
      <sz val="12"/>
      <color theme="1"/>
      <name val="Times New Roman"/>
      <family val="1"/>
      <charset val="162"/>
    </font>
    <font>
      <sz val="14"/>
      <color theme="1"/>
      <name val="Times New Roman"/>
      <family val="1"/>
      <charset val="162"/>
    </font>
    <font>
      <b/>
      <sz val="14"/>
      <color theme="1"/>
      <name val="Times New Roman"/>
      <family val="1"/>
      <charset val="162"/>
    </font>
    <font>
      <b/>
      <sz val="16"/>
      <color theme="0"/>
      <name val="Times New Roman"/>
      <family val="1"/>
      <charset val="162"/>
    </font>
    <font>
      <sz val="12"/>
      <color rgb="FF000066"/>
      <name val="Times New Roman"/>
      <family val="1"/>
      <charset val="162"/>
    </font>
    <font>
      <sz val="12"/>
      <name val="Times New Roman"/>
      <family val="1"/>
      <charset val="162"/>
    </font>
    <font>
      <sz val="14"/>
      <name val="Times New Roman"/>
      <family val="1"/>
      <charset val="162"/>
    </font>
    <font>
      <b/>
      <i/>
      <sz val="14"/>
      <color rgb="FF000066"/>
      <name val="Times New Roman"/>
      <family val="1"/>
      <charset val="162"/>
    </font>
    <font>
      <b/>
      <sz val="12"/>
      <color theme="1"/>
      <name val="Times New Roman"/>
      <family val="1"/>
      <charset val="162"/>
    </font>
    <font>
      <b/>
      <sz val="18"/>
      <color theme="0"/>
      <name val="Times New Roman"/>
      <family val="1"/>
      <charset val="162"/>
    </font>
    <font>
      <b/>
      <i/>
      <sz val="16"/>
      <color rgb="FF000066"/>
      <name val="Times New Roman"/>
      <family val="1"/>
      <charset val="162"/>
    </font>
    <font>
      <i/>
      <sz val="12"/>
      <color rgb="FF000066"/>
      <name val="Times New Roman"/>
      <family val="1"/>
      <charset val="162"/>
    </font>
    <font>
      <i/>
      <sz val="14"/>
      <color rgb="FF000066"/>
      <name val="Times New Roman"/>
      <family val="1"/>
      <charset val="162"/>
    </font>
    <font>
      <i/>
      <sz val="13"/>
      <color rgb="FF000066"/>
      <name val="Times New Roman"/>
      <family val="1"/>
      <charset val="162"/>
    </font>
    <font>
      <i/>
      <sz val="15"/>
      <color rgb="FF000066"/>
      <name val="Times New Roman"/>
      <family val="1"/>
      <charset val="162"/>
    </font>
    <font>
      <b/>
      <sz val="16"/>
      <color rgb="FF000066"/>
      <name val="Times New Roman"/>
      <family val="1"/>
      <charset val="162"/>
    </font>
    <font>
      <sz val="13"/>
      <color theme="1"/>
      <name val="Times New Roman"/>
      <family val="1"/>
      <charset val="162"/>
    </font>
    <font>
      <sz val="13"/>
      <color rgb="FFFF0000"/>
      <name val="Times New Roman"/>
      <family val="1"/>
      <charset val="162"/>
    </font>
    <font>
      <b/>
      <sz val="13"/>
      <color theme="1"/>
      <name val="Times New Roman"/>
      <family val="1"/>
      <charset val="162"/>
    </font>
    <font>
      <sz val="26"/>
      <color rgb="FF002060"/>
      <name val="Times New Roman"/>
      <family val="1"/>
      <charset val="162"/>
    </font>
    <font>
      <b/>
      <i/>
      <sz val="12"/>
      <color rgb="FF000066"/>
      <name val="Times New Roman"/>
      <family val="1"/>
      <charset val="162"/>
    </font>
    <font>
      <sz val="18"/>
      <color rgb="FF000066"/>
      <name val="Times New Roman"/>
      <family val="1"/>
      <charset val="162"/>
    </font>
    <font>
      <i/>
      <sz val="16"/>
      <color rgb="FF000066"/>
      <name val="Times New Roman"/>
      <family val="1"/>
      <charset val="162"/>
    </font>
    <font>
      <b/>
      <i/>
      <sz val="14"/>
      <color theme="1"/>
      <name val="Calibri"/>
      <family val="2"/>
      <charset val="162"/>
      <scheme val="minor"/>
    </font>
    <font>
      <b/>
      <sz val="16"/>
      <color rgb="FFFF0000"/>
      <name val="Times New Roman"/>
      <family val="1"/>
      <charset val="162"/>
    </font>
    <font>
      <sz val="13"/>
      <name val="Times New Roman"/>
      <family val="1"/>
      <charset val="162"/>
    </font>
    <font>
      <u/>
      <sz val="11"/>
      <color theme="10"/>
      <name val="Calibri"/>
      <family val="2"/>
      <scheme val="minor"/>
    </font>
  </fonts>
  <fills count="3">
    <fill>
      <patternFill patternType="none"/>
    </fill>
    <fill>
      <patternFill patternType="gray125"/>
    </fill>
    <fill>
      <patternFill patternType="solid">
        <fgColor theme="8" tint="-0.499984740745262"/>
        <bgColor indexed="64"/>
      </patternFill>
    </fill>
  </fills>
  <borders count="39">
    <border>
      <left/>
      <right/>
      <top/>
      <bottom/>
      <diagonal/>
    </border>
    <border>
      <left/>
      <right style="medium">
        <color indexed="64"/>
      </right>
      <top/>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s>
  <cellStyleXfs count="3">
    <xf numFmtId="0" fontId="0" fillId="0" borderId="0"/>
    <xf numFmtId="44" fontId="1" fillId="0" borderId="0" applyFont="0" applyFill="0" applyBorder="0" applyAlignment="0" applyProtection="0"/>
    <xf numFmtId="0" fontId="34" fillId="0" borderId="0" applyNumberFormat="0" applyFill="0" applyBorder="0" applyAlignment="0" applyProtection="0"/>
  </cellStyleXfs>
  <cellXfs count="185">
    <xf numFmtId="0" fontId="0" fillId="0" borderId="0" xfId="0"/>
    <xf numFmtId="0" fontId="0" fillId="0" borderId="0" xfId="0" applyProtection="1">
      <protection locked="0"/>
    </xf>
    <xf numFmtId="0" fontId="0" fillId="0" borderId="0" xfId="0" applyBorder="1" applyProtection="1">
      <protection locked="0"/>
    </xf>
    <xf numFmtId="0" fontId="2" fillId="0" borderId="0" xfId="0" applyFont="1" applyProtection="1">
      <protection locked="0"/>
    </xf>
    <xf numFmtId="0" fontId="7" fillId="0" borderId="10" xfId="0" applyFont="1" applyBorder="1" applyAlignment="1" applyProtection="1">
      <alignment horizontal="center" vertical="center"/>
      <protection locked="0"/>
    </xf>
    <xf numFmtId="0" fontId="27" fillId="0" borderId="0" xfId="0" applyFont="1" applyAlignment="1" applyProtection="1">
      <alignment vertical="center" wrapText="1"/>
      <protection locked="0"/>
    </xf>
    <xf numFmtId="0" fontId="7" fillId="0" borderId="0" xfId="0" applyFont="1" applyBorder="1" applyAlignment="1" applyProtection="1">
      <alignment horizontal="center" vertical="center"/>
      <protection locked="0"/>
    </xf>
    <xf numFmtId="0" fontId="8" fillId="0" borderId="0" xfId="0" applyFont="1" applyBorder="1" applyAlignment="1" applyProtection="1">
      <alignment horizontal="center" vertical="center"/>
      <protection locked="0"/>
    </xf>
    <xf numFmtId="0" fontId="24" fillId="0" borderId="36" xfId="0" applyFont="1" applyBorder="1" applyAlignment="1" applyProtection="1">
      <alignment vertical="center"/>
      <protection locked="0"/>
    </xf>
    <xf numFmtId="0" fontId="24" fillId="0" borderId="13" xfId="0" applyFont="1" applyBorder="1" applyAlignment="1" applyProtection="1">
      <alignment vertical="center"/>
      <protection locked="0"/>
    </xf>
    <xf numFmtId="0" fontId="24" fillId="0" borderId="37" xfId="0" applyFont="1" applyBorder="1" applyAlignment="1" applyProtection="1">
      <alignment vertical="center"/>
      <protection locked="0"/>
    </xf>
    <xf numFmtId="0" fontId="24" fillId="0" borderId="27" xfId="0" applyFont="1" applyBorder="1" applyAlignment="1" applyProtection="1">
      <alignment vertical="center"/>
      <protection locked="0"/>
    </xf>
    <xf numFmtId="0" fontId="24" fillId="0" borderId="28" xfId="0" applyFont="1" applyBorder="1" applyAlignment="1" applyProtection="1">
      <alignment horizontal="center" vertical="center"/>
      <protection locked="0"/>
    </xf>
    <xf numFmtId="0" fontId="24" fillId="0" borderId="28" xfId="0" applyFont="1" applyBorder="1" applyAlignment="1" applyProtection="1">
      <alignment vertical="center"/>
      <protection locked="0"/>
    </xf>
    <xf numFmtId="0" fontId="24" fillId="0" borderId="29" xfId="0" applyFont="1" applyBorder="1" applyAlignment="1" applyProtection="1">
      <alignment vertical="center"/>
      <protection locked="0"/>
    </xf>
    <xf numFmtId="0" fontId="3" fillId="0" borderId="0" xfId="0" applyFont="1" applyProtection="1">
      <protection locked="0"/>
    </xf>
    <xf numFmtId="0" fontId="7" fillId="0" borderId="7"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14" fillId="0" borderId="7" xfId="0" applyFont="1" applyBorder="1" applyAlignment="1" applyProtection="1">
      <alignment horizontal="left" vertical="center"/>
      <protection locked="0"/>
    </xf>
    <xf numFmtId="0" fontId="14" fillId="0" borderId="7" xfId="0" applyFont="1" applyBorder="1" applyAlignment="1" applyProtection="1">
      <alignment horizontal="center" vertical="center"/>
      <protection locked="0"/>
    </xf>
    <xf numFmtId="44" fontId="14" fillId="0" borderId="7" xfId="1" applyFont="1" applyBorder="1" applyAlignment="1" applyProtection="1">
      <alignment horizontal="center" vertical="center"/>
      <protection locked="0"/>
    </xf>
    <xf numFmtId="44" fontId="14" fillId="0" borderId="7" xfId="1" applyFont="1" applyBorder="1" applyProtection="1">
      <protection locked="0"/>
    </xf>
    <xf numFmtId="0" fontId="13" fillId="0" borderId="7" xfId="0" applyFont="1" applyBorder="1" applyProtection="1">
      <protection locked="0"/>
    </xf>
    <xf numFmtId="0" fontId="14" fillId="0" borderId="7" xfId="0" applyFont="1" applyBorder="1" applyAlignment="1" applyProtection="1">
      <alignment horizontal="left"/>
      <protection locked="0"/>
    </xf>
    <xf numFmtId="0" fontId="13" fillId="0" borderId="7" xfId="0" applyFont="1" applyBorder="1" applyAlignment="1" applyProtection="1">
      <alignment horizontal="center"/>
      <protection locked="0"/>
    </xf>
    <xf numFmtId="0" fontId="5" fillId="0" borderId="0" xfId="0" applyFont="1" applyProtection="1">
      <protection locked="0"/>
    </xf>
    <xf numFmtId="0" fontId="4" fillId="0" borderId="0" xfId="0" applyFont="1" applyProtection="1">
      <protection locked="0"/>
    </xf>
    <xf numFmtId="0" fontId="15" fillId="0" borderId="0" xfId="0" applyFont="1" applyBorder="1" applyAlignment="1" applyProtection="1">
      <alignment horizontal="right"/>
      <protection locked="0"/>
    </xf>
    <xf numFmtId="44" fontId="16" fillId="0" borderId="0" xfId="1" applyFont="1" applyBorder="1" applyProtection="1">
      <protection locked="0"/>
    </xf>
    <xf numFmtId="44" fontId="10" fillId="0" borderId="0" xfId="1" applyFont="1" applyBorder="1" applyProtection="1">
      <protection locked="0"/>
    </xf>
    <xf numFmtId="0" fontId="20" fillId="0" borderId="0" xfId="0" applyFont="1" applyProtection="1">
      <protection locked="0"/>
    </xf>
    <xf numFmtId="44" fontId="22" fillId="0" borderId="17" xfId="0" applyNumberFormat="1" applyFont="1" applyBorder="1" applyAlignment="1" applyProtection="1">
      <alignment horizontal="center" vertical="center"/>
      <protection locked="0"/>
    </xf>
    <xf numFmtId="44" fontId="22" fillId="0" borderId="19" xfId="0" applyNumberFormat="1" applyFont="1" applyBorder="1" applyAlignment="1" applyProtection="1">
      <alignment horizontal="center" vertical="center"/>
      <protection locked="0"/>
    </xf>
    <xf numFmtId="0" fontId="6" fillId="0" borderId="0" xfId="0" applyFont="1" applyBorder="1" applyAlignment="1" applyProtection="1">
      <alignment vertical="center"/>
      <protection locked="0"/>
    </xf>
    <xf numFmtId="0" fontId="20" fillId="0" borderId="0" xfId="0" applyFont="1" applyBorder="1" applyAlignment="1" applyProtection="1">
      <alignment vertical="center"/>
      <protection locked="0"/>
    </xf>
    <xf numFmtId="44" fontId="18" fillId="0" borderId="21" xfId="0" applyNumberFormat="1" applyFont="1" applyBorder="1" applyAlignment="1" applyProtection="1">
      <alignment horizontal="center" vertical="center"/>
      <protection locked="0"/>
    </xf>
    <xf numFmtId="0" fontId="19" fillId="0" borderId="0" xfId="0" applyFont="1" applyProtection="1">
      <protection locked="0"/>
    </xf>
    <xf numFmtId="0" fontId="15" fillId="0" borderId="0" xfId="0" applyFont="1" applyBorder="1" applyAlignment="1" applyProtection="1">
      <alignment horizontal="center" vertical="center"/>
      <protection locked="0"/>
    </xf>
    <xf numFmtId="0" fontId="12" fillId="0" borderId="0" xfId="0" applyFont="1" applyAlignment="1" applyProtection="1">
      <protection locked="0"/>
    </xf>
    <xf numFmtId="0" fontId="2" fillId="0" borderId="0" xfId="0" applyFont="1" applyAlignment="1" applyProtection="1">
      <protection locked="0"/>
    </xf>
    <xf numFmtId="0" fontId="0" fillId="0" borderId="26" xfId="0" applyBorder="1" applyProtection="1">
      <protection locked="0"/>
    </xf>
    <xf numFmtId="0" fontId="0" fillId="0" borderId="13" xfId="0" applyBorder="1" applyProtection="1">
      <protection locked="0"/>
    </xf>
    <xf numFmtId="0" fontId="15" fillId="0" borderId="7" xfId="0" applyFont="1" applyBorder="1" applyAlignment="1" applyProtection="1">
      <alignment horizontal="right"/>
    </xf>
    <xf numFmtId="0" fontId="20" fillId="0" borderId="4" xfId="0" applyFont="1" applyBorder="1" applyAlignment="1" applyProtection="1">
      <alignment vertical="center"/>
      <protection locked="0"/>
    </xf>
    <xf numFmtId="0" fontId="20" fillId="0" borderId="1" xfId="0" applyFont="1" applyBorder="1" applyAlignment="1" applyProtection="1">
      <alignment vertical="center"/>
      <protection locked="0"/>
    </xf>
    <xf numFmtId="0" fontId="14" fillId="0" borderId="7" xfId="0" applyNumberFormat="1" applyFont="1" applyBorder="1" applyAlignment="1" applyProtection="1">
      <alignment horizontal="center" vertical="center"/>
      <protection locked="0"/>
    </xf>
    <xf numFmtId="0" fontId="0" fillId="0" borderId="0" xfId="0" applyBorder="1" applyProtection="1"/>
    <xf numFmtId="0" fontId="7" fillId="0" borderId="5" xfId="0" applyFont="1" applyBorder="1" applyAlignment="1" applyProtection="1">
      <alignment horizontal="center" vertical="center"/>
    </xf>
    <xf numFmtId="0" fontId="7" fillId="0" borderId="4" xfId="0" applyFont="1" applyBorder="1" applyAlignment="1" applyProtection="1">
      <alignment horizontal="center" vertical="center"/>
    </xf>
    <xf numFmtId="0" fontId="7" fillId="0" borderId="8" xfId="0" applyFont="1" applyBorder="1" applyAlignment="1" applyProtection="1">
      <alignment horizontal="center" vertical="center"/>
    </xf>
    <xf numFmtId="0" fontId="7" fillId="0" borderId="10" xfId="0" applyFont="1" applyBorder="1" applyAlignment="1" applyProtection="1">
      <alignment horizontal="center" vertical="center"/>
    </xf>
    <xf numFmtId="0" fontId="7" fillId="0" borderId="7" xfId="0" applyFont="1" applyBorder="1" applyAlignment="1" applyProtection="1">
      <alignment horizontal="center" vertical="center"/>
    </xf>
    <xf numFmtId="0" fontId="12" fillId="0" borderId="7" xfId="0" applyFont="1" applyBorder="1" applyAlignment="1" applyProtection="1">
      <alignment horizontal="center" vertical="center"/>
    </xf>
    <xf numFmtId="0" fontId="21" fillId="0" borderId="16" xfId="0" applyFont="1" applyBorder="1" applyAlignment="1" applyProtection="1">
      <alignment horizontal="center"/>
    </xf>
    <xf numFmtId="0" fontId="21" fillId="0" borderId="18" xfId="0" applyFont="1" applyBorder="1" applyAlignment="1" applyProtection="1">
      <alignment horizontal="center"/>
    </xf>
    <xf numFmtId="0" fontId="15" fillId="0" borderId="20" xfId="0" applyFont="1" applyBorder="1" applyAlignment="1" applyProtection="1">
      <alignment horizontal="right"/>
    </xf>
    <xf numFmtId="0" fontId="12" fillId="0" borderId="0" xfId="0" applyFont="1" applyAlignment="1" applyProtection="1"/>
    <xf numFmtId="0" fontId="4" fillId="0" borderId="0" xfId="0" applyFont="1" applyProtection="1"/>
    <xf numFmtId="0" fontId="2" fillId="0" borderId="0" xfId="0" applyFont="1" applyAlignment="1" applyProtection="1"/>
    <xf numFmtId="0" fontId="0" fillId="0" borderId="0" xfId="0" applyProtection="1"/>
    <xf numFmtId="44" fontId="10" fillId="0" borderId="0" xfId="1" applyFont="1" applyBorder="1" applyProtection="1"/>
    <xf numFmtId="0" fontId="4" fillId="0" borderId="2" xfId="0" applyFont="1" applyBorder="1" applyProtection="1"/>
    <xf numFmtId="0" fontId="4" fillId="0" borderId="23" xfId="0" applyFont="1" applyBorder="1" applyProtection="1"/>
    <xf numFmtId="0" fontId="12" fillId="0" borderId="4" xfId="0" applyFont="1" applyBorder="1" applyProtection="1"/>
    <xf numFmtId="0" fontId="19" fillId="0" borderId="0" xfId="0" applyFont="1" applyBorder="1" applyProtection="1"/>
    <xf numFmtId="0" fontId="4" fillId="0" borderId="0" xfId="0" applyFont="1" applyBorder="1" applyProtection="1"/>
    <xf numFmtId="0" fontId="4" fillId="0" borderId="24" xfId="0" applyFont="1" applyBorder="1" applyProtection="1"/>
    <xf numFmtId="0" fontId="12" fillId="0" borderId="5" xfId="0" applyFont="1" applyBorder="1" applyProtection="1"/>
    <xf numFmtId="0" fontId="19" fillId="0" borderId="6" xfId="0" applyFont="1" applyBorder="1" applyProtection="1"/>
    <xf numFmtId="0" fontId="4" fillId="0" borderId="6" xfId="0" applyFont="1" applyBorder="1" applyProtection="1"/>
    <xf numFmtId="0" fontId="4" fillId="0" borderId="25" xfId="0" applyFont="1" applyBorder="1" applyProtection="1"/>
    <xf numFmtId="0" fontId="15" fillId="0" borderId="0" xfId="0" applyFont="1" applyBorder="1" applyAlignment="1" applyProtection="1">
      <alignment horizontal="right"/>
    </xf>
    <xf numFmtId="44" fontId="14" fillId="0" borderId="7" xfId="1" applyFont="1" applyBorder="1" applyProtection="1"/>
    <xf numFmtId="44" fontId="9" fillId="0" borderId="7" xfId="1" applyFont="1" applyBorder="1" applyProtection="1"/>
    <xf numFmtId="44" fontId="10" fillId="0" borderId="7" xfId="1" applyFont="1" applyBorder="1" applyProtection="1"/>
    <xf numFmtId="44" fontId="8" fillId="0" borderId="7" xfId="1" applyFont="1" applyBorder="1" applyProtection="1"/>
    <xf numFmtId="0" fontId="7" fillId="0" borderId="0" xfId="0" applyFont="1" applyBorder="1" applyAlignment="1" applyProtection="1">
      <alignment vertical="center"/>
    </xf>
    <xf numFmtId="0" fontId="7" fillId="0" borderId="6" xfId="0" applyFont="1" applyBorder="1" applyAlignment="1" applyProtection="1">
      <alignment vertical="center"/>
    </xf>
    <xf numFmtId="14" fontId="7" fillId="0" borderId="10" xfId="0" applyNumberFormat="1" applyFont="1" applyBorder="1" applyAlignment="1" applyProtection="1">
      <alignment horizontal="center" vertical="center"/>
      <protection locked="0"/>
    </xf>
    <xf numFmtId="0" fontId="29" fillId="0" borderId="0" xfId="0" applyFont="1" applyAlignment="1" applyProtection="1"/>
    <xf numFmtId="0" fontId="29" fillId="0" borderId="0" xfId="0" applyFont="1" applyAlignment="1" applyProtection="1">
      <protection locked="0"/>
    </xf>
    <xf numFmtId="0" fontId="30" fillId="0" borderId="0" xfId="0" applyFont="1" applyAlignment="1" applyProtection="1"/>
    <xf numFmtId="164" fontId="14" fillId="0" borderId="7" xfId="1" applyNumberFormat="1" applyFont="1" applyBorder="1" applyAlignment="1" applyProtection="1">
      <alignment horizontal="center" vertical="center"/>
      <protection locked="0"/>
    </xf>
    <xf numFmtId="164" fontId="14" fillId="0" borderId="7" xfId="1" applyNumberFormat="1" applyFont="1" applyBorder="1" applyProtection="1"/>
    <xf numFmtId="164" fontId="9" fillId="0" borderId="7" xfId="1" applyNumberFormat="1" applyFont="1" applyBorder="1" applyProtection="1"/>
    <xf numFmtId="164" fontId="10" fillId="0" borderId="7" xfId="1" applyNumberFormat="1" applyFont="1" applyBorder="1" applyProtection="1"/>
    <xf numFmtId="164" fontId="8" fillId="0" borderId="7" xfId="1" applyNumberFormat="1" applyFont="1" applyBorder="1" applyProtection="1"/>
    <xf numFmtId="0" fontId="31" fillId="0" borderId="0" xfId="0" applyFont="1" applyProtection="1">
      <protection locked="0"/>
    </xf>
    <xf numFmtId="164" fontId="32" fillId="0" borderId="7" xfId="1" applyNumberFormat="1" applyFont="1" applyBorder="1" applyProtection="1"/>
    <xf numFmtId="164" fontId="22" fillId="0" borderId="17" xfId="0" applyNumberFormat="1" applyFont="1" applyBorder="1" applyAlignment="1" applyProtection="1">
      <alignment horizontal="center" vertical="center"/>
      <protection locked="0"/>
    </xf>
    <xf numFmtId="164" fontId="22" fillId="0" borderId="19" xfId="0" applyNumberFormat="1" applyFont="1" applyBorder="1" applyAlignment="1" applyProtection="1">
      <alignment horizontal="center" vertical="center"/>
      <protection locked="0"/>
    </xf>
    <xf numFmtId="164" fontId="18" fillId="0" borderId="21" xfId="0" applyNumberFormat="1" applyFont="1" applyBorder="1" applyAlignment="1" applyProtection="1">
      <alignment horizontal="center" vertical="center"/>
      <protection locked="0"/>
    </xf>
    <xf numFmtId="0" fontId="15" fillId="0" borderId="0" xfId="0" applyFont="1" applyProtection="1">
      <protection locked="0"/>
    </xf>
    <xf numFmtId="16" fontId="2" fillId="0" borderId="0" xfId="0" applyNumberFormat="1" applyFont="1" applyProtection="1">
      <protection locked="0"/>
    </xf>
    <xf numFmtId="0" fontId="28" fillId="0" borderId="0" xfId="0" applyFont="1" applyProtection="1">
      <protection locked="0"/>
    </xf>
    <xf numFmtId="0" fontId="8" fillId="0" borderId="0" xfId="0" applyFont="1" applyProtection="1">
      <protection locked="0"/>
    </xf>
    <xf numFmtId="44" fontId="0" fillId="0" borderId="0" xfId="0" applyNumberFormat="1" applyProtection="1">
      <protection locked="0"/>
    </xf>
    <xf numFmtId="0" fontId="11" fillId="2" borderId="0" xfId="0" applyFont="1" applyFill="1" applyBorder="1" applyAlignment="1" applyProtection="1">
      <alignment horizontal="center" vertical="center"/>
    </xf>
    <xf numFmtId="0" fontId="11" fillId="2" borderId="1" xfId="0" applyFont="1" applyFill="1" applyBorder="1" applyAlignment="1" applyProtection="1">
      <alignment horizontal="center" vertical="center"/>
    </xf>
    <xf numFmtId="0" fontId="27" fillId="0" borderId="0" xfId="0" applyFont="1" applyAlignment="1" applyProtection="1">
      <alignment horizontal="center" vertical="center" wrapText="1"/>
    </xf>
    <xf numFmtId="0" fontId="7" fillId="0" borderId="8" xfId="0" applyFont="1" applyBorder="1" applyAlignment="1" applyProtection="1">
      <alignment horizontal="center" vertical="center"/>
    </xf>
    <xf numFmtId="0" fontId="7" fillId="0" borderId="22" xfId="0" applyFont="1" applyBorder="1" applyAlignment="1" applyProtection="1">
      <alignment horizontal="center" vertical="center"/>
    </xf>
    <xf numFmtId="0" fontId="7" fillId="0" borderId="9" xfId="0" applyFont="1" applyBorder="1" applyAlignment="1" applyProtection="1">
      <alignment horizontal="center" vertical="center"/>
    </xf>
    <xf numFmtId="0" fontId="7" fillId="0" borderId="3"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7" fillId="0" borderId="2" xfId="0" applyFont="1" applyBorder="1" applyAlignment="1" applyProtection="1">
      <alignment horizontal="center" vertical="center"/>
      <protection locked="0"/>
    </xf>
    <xf numFmtId="0" fontId="7" fillId="0" borderId="4" xfId="0" applyFont="1" applyBorder="1" applyAlignment="1" applyProtection="1">
      <alignment horizontal="center" vertical="center"/>
      <protection locked="0"/>
    </xf>
    <xf numFmtId="0" fontId="7" fillId="0" borderId="1" xfId="0" applyFont="1" applyBorder="1" applyAlignment="1" applyProtection="1">
      <alignment horizontal="center" vertical="center"/>
      <protection locked="0"/>
    </xf>
    <xf numFmtId="0" fontId="7" fillId="0" borderId="0" xfId="0" applyFont="1" applyBorder="1" applyAlignment="1" applyProtection="1">
      <alignment horizontal="center" vertical="center"/>
      <protection locked="0"/>
    </xf>
    <xf numFmtId="0" fontId="7" fillId="0" borderId="5" xfId="0" applyFont="1" applyBorder="1" applyAlignment="1" applyProtection="1">
      <alignment horizontal="center" vertical="center"/>
      <protection locked="0"/>
    </xf>
    <xf numFmtId="0" fontId="7" fillId="0" borderId="11" xfId="0" applyFont="1" applyBorder="1" applyAlignment="1" applyProtection="1">
      <alignment horizontal="center" vertical="center"/>
      <protection locked="0"/>
    </xf>
    <xf numFmtId="0" fontId="17" fillId="2" borderId="0" xfId="0" applyFont="1" applyFill="1" applyBorder="1" applyAlignment="1" applyProtection="1">
      <alignment horizontal="center" vertical="center"/>
    </xf>
    <xf numFmtId="0" fontId="17" fillId="2" borderId="1" xfId="0" applyFont="1" applyFill="1" applyBorder="1" applyAlignment="1" applyProtection="1">
      <alignment horizontal="center" vertical="center"/>
    </xf>
    <xf numFmtId="0" fontId="7" fillId="0" borderId="6" xfId="0" applyFont="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0" borderId="9" xfId="0" applyFont="1" applyBorder="1" applyAlignment="1" applyProtection="1">
      <alignment horizontal="center" vertical="center"/>
      <protection locked="0"/>
    </xf>
    <xf numFmtId="0" fontId="24" fillId="0" borderId="4" xfId="0" applyFont="1" applyBorder="1" applyAlignment="1" applyProtection="1">
      <alignment horizontal="center" vertical="center"/>
      <protection locked="0"/>
    </xf>
    <xf numFmtId="0" fontId="24" fillId="0" borderId="0"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24" fillId="0" borderId="27" xfId="0" applyFont="1" applyBorder="1" applyAlignment="1" applyProtection="1">
      <alignment horizontal="center" vertical="center"/>
      <protection locked="0"/>
    </xf>
    <xf numFmtId="0" fontId="24" fillId="0" borderId="28" xfId="0" applyFont="1" applyBorder="1" applyAlignment="1" applyProtection="1">
      <alignment horizontal="center" vertical="center"/>
      <protection locked="0"/>
    </xf>
    <xf numFmtId="0" fontId="24" fillId="0" borderId="29" xfId="0" applyFont="1" applyBorder="1" applyAlignment="1" applyProtection="1">
      <alignment horizontal="center" vertical="center"/>
      <protection locked="0"/>
    </xf>
    <xf numFmtId="0" fontId="25" fillId="0" borderId="27" xfId="0" applyFont="1" applyBorder="1" applyAlignment="1" applyProtection="1">
      <alignment horizontal="center" vertical="center"/>
      <protection locked="0"/>
    </xf>
    <xf numFmtId="0" fontId="25" fillId="0" borderId="28" xfId="0" applyFont="1" applyBorder="1" applyAlignment="1" applyProtection="1">
      <alignment horizontal="center" vertical="center"/>
      <protection locked="0"/>
    </xf>
    <xf numFmtId="0" fontId="25" fillId="0" borderId="29" xfId="0" applyFont="1" applyBorder="1" applyAlignment="1" applyProtection="1">
      <alignment horizontal="center" vertical="center"/>
      <protection locked="0"/>
    </xf>
    <xf numFmtId="0" fontId="24" fillId="0" borderId="31" xfId="0" applyFont="1" applyBorder="1" applyAlignment="1" applyProtection="1">
      <alignment horizontal="center" vertical="center"/>
      <protection locked="0"/>
    </xf>
    <xf numFmtId="0" fontId="24" fillId="0" borderId="32" xfId="0" applyFont="1" applyBorder="1" applyAlignment="1" applyProtection="1">
      <alignment horizontal="center" vertical="center"/>
      <protection locked="0"/>
    </xf>
    <xf numFmtId="0" fontId="26" fillId="0" borderId="33" xfId="0" applyFont="1" applyBorder="1" applyAlignment="1" applyProtection="1">
      <alignment horizontal="center" vertical="center"/>
      <protection locked="0"/>
    </xf>
    <xf numFmtId="0" fontId="26" fillId="0" borderId="34" xfId="0" applyFont="1" applyBorder="1" applyAlignment="1" applyProtection="1">
      <alignment horizontal="center" vertical="center"/>
      <protection locked="0"/>
    </xf>
    <xf numFmtId="0" fontId="26" fillId="0" borderId="35" xfId="0" applyFont="1" applyBorder="1" applyAlignment="1" applyProtection="1">
      <alignment horizontal="center" vertical="center"/>
      <protection locked="0"/>
    </xf>
    <xf numFmtId="0" fontId="24" fillId="0" borderId="13" xfId="0" applyFont="1" applyBorder="1" applyAlignment="1" applyProtection="1">
      <alignment horizontal="center" vertical="center"/>
      <protection locked="0"/>
    </xf>
    <xf numFmtId="0" fontId="24" fillId="0" borderId="30" xfId="0" applyFont="1" applyBorder="1" applyAlignment="1" applyProtection="1">
      <alignment horizontal="left" vertical="center"/>
      <protection locked="0"/>
    </xf>
    <xf numFmtId="0" fontId="24" fillId="0" borderId="31" xfId="0" applyFont="1" applyBorder="1" applyAlignment="1" applyProtection="1">
      <alignment horizontal="left" vertical="center"/>
      <protection locked="0"/>
    </xf>
    <xf numFmtId="0" fontId="24" fillId="0" borderId="32" xfId="0" applyFont="1" applyBorder="1" applyAlignment="1" applyProtection="1">
      <alignment horizontal="left" vertical="center"/>
      <protection locked="0"/>
    </xf>
    <xf numFmtId="0" fontId="14" fillId="0" borderId="12" xfId="0" applyFont="1" applyBorder="1" applyAlignment="1" applyProtection="1">
      <alignment horizontal="left" vertical="center"/>
      <protection locked="0"/>
    </xf>
    <xf numFmtId="0" fontId="14" fillId="0" borderId="13" xfId="0" applyFont="1" applyBorder="1" applyAlignment="1" applyProtection="1">
      <alignment horizontal="left" vertical="center"/>
      <protection locked="0"/>
    </xf>
    <xf numFmtId="0" fontId="14" fillId="0" borderId="14" xfId="0" applyFont="1" applyBorder="1" applyAlignment="1" applyProtection="1">
      <alignment horizontal="left" vertical="center"/>
      <protection locked="0"/>
    </xf>
    <xf numFmtId="0" fontId="7" fillId="0" borderId="12" xfId="0" applyFont="1" applyBorder="1" applyAlignment="1" applyProtection="1">
      <alignment horizontal="center" vertical="center"/>
    </xf>
    <xf numFmtId="0" fontId="7" fillId="0" borderId="13" xfId="0" applyFont="1" applyBorder="1" applyAlignment="1" applyProtection="1">
      <alignment horizontal="center" vertical="center"/>
    </xf>
    <xf numFmtId="0" fontId="7" fillId="0" borderId="14" xfId="0" applyFont="1" applyBorder="1" applyAlignment="1" applyProtection="1">
      <alignment horizontal="center" vertical="center"/>
    </xf>
    <xf numFmtId="0" fontId="18" fillId="0" borderId="8" xfId="0" applyFont="1" applyBorder="1" applyAlignment="1" applyProtection="1">
      <alignment horizontal="center" vertical="center"/>
    </xf>
    <xf numFmtId="0" fontId="18" fillId="0" borderId="9" xfId="0" applyFont="1" applyBorder="1" applyAlignment="1" applyProtection="1">
      <alignment horizontal="center" vertical="center"/>
    </xf>
    <xf numFmtId="0" fontId="20" fillId="0" borderId="4" xfId="0" applyFont="1" applyBorder="1" applyAlignment="1" applyProtection="1">
      <alignment horizontal="center" vertical="center"/>
      <protection locked="0"/>
    </xf>
    <xf numFmtId="0" fontId="20" fillId="0" borderId="0" xfId="0" applyFont="1" applyBorder="1" applyAlignment="1" applyProtection="1">
      <alignment horizontal="center" vertical="center"/>
      <protection locked="0"/>
    </xf>
    <xf numFmtId="0" fontId="20" fillId="0" borderId="1" xfId="0" applyFont="1" applyBorder="1" applyAlignment="1" applyProtection="1">
      <alignment horizontal="center" vertical="center"/>
      <protection locked="0"/>
    </xf>
    <xf numFmtId="0" fontId="15" fillId="0" borderId="3" xfId="0" applyFont="1" applyBorder="1" applyAlignment="1" applyProtection="1">
      <alignment horizontal="center" vertical="center"/>
    </xf>
    <xf numFmtId="0" fontId="15" fillId="0" borderId="2" xfId="0" applyFont="1" applyBorder="1" applyAlignment="1" applyProtection="1">
      <alignment horizontal="center" vertical="center"/>
    </xf>
    <xf numFmtId="0" fontId="15" fillId="0" borderId="15" xfId="0" applyFont="1" applyBorder="1" applyAlignment="1" applyProtection="1">
      <alignment horizontal="center" vertical="center"/>
    </xf>
    <xf numFmtId="0" fontId="23" fillId="0" borderId="3" xfId="0" applyFont="1" applyBorder="1" applyAlignment="1" applyProtection="1">
      <alignment horizontal="center" vertical="center"/>
    </xf>
    <xf numFmtId="0" fontId="23" fillId="0" borderId="2" xfId="0" applyFont="1" applyBorder="1" applyAlignment="1" applyProtection="1">
      <alignment horizontal="center" vertical="center"/>
    </xf>
    <xf numFmtId="0" fontId="23" fillId="0" borderId="2" xfId="0" applyFont="1" applyBorder="1" applyAlignment="1" applyProtection="1">
      <alignment horizontal="center"/>
    </xf>
    <xf numFmtId="0" fontId="23" fillId="0" borderId="15" xfId="0" applyFont="1" applyBorder="1" applyAlignment="1" applyProtection="1">
      <alignment horizontal="center"/>
    </xf>
    <xf numFmtId="0" fontId="20" fillId="0" borderId="5" xfId="0" applyFont="1" applyBorder="1" applyAlignment="1" applyProtection="1">
      <alignment horizontal="center" vertical="center"/>
      <protection locked="0"/>
    </xf>
    <xf numFmtId="0" fontId="20" fillId="0" borderId="6" xfId="0" applyFont="1" applyBorder="1" applyAlignment="1" applyProtection="1">
      <alignment horizontal="center" vertical="center"/>
      <protection locked="0"/>
    </xf>
    <xf numFmtId="0" fontId="20" fillId="0" borderId="11" xfId="0" applyFont="1" applyBorder="1" applyAlignment="1" applyProtection="1">
      <alignment horizontal="center" vertical="center"/>
      <protection locked="0"/>
    </xf>
    <xf numFmtId="0" fontId="20" fillId="0" borderId="3" xfId="0" applyFont="1" applyBorder="1" applyAlignment="1" applyProtection="1">
      <alignment horizontal="center" vertical="center"/>
      <protection locked="0"/>
    </xf>
    <xf numFmtId="0" fontId="20" fillId="0" borderId="2" xfId="0" applyFont="1" applyBorder="1" applyAlignment="1" applyProtection="1">
      <alignment horizontal="center" vertical="center"/>
      <protection locked="0"/>
    </xf>
    <xf numFmtId="0" fontId="20" fillId="0" borderId="8" xfId="0" applyFont="1" applyBorder="1" applyAlignment="1" applyProtection="1">
      <alignment horizontal="center" vertical="center"/>
    </xf>
    <xf numFmtId="0" fontId="20" fillId="0" borderId="22" xfId="0" applyFont="1" applyBorder="1" applyAlignment="1" applyProtection="1">
      <alignment horizontal="center" vertical="center"/>
    </xf>
    <xf numFmtId="0" fontId="20" fillId="0" borderId="9" xfId="0" applyFont="1" applyBorder="1" applyAlignment="1" applyProtection="1">
      <alignment horizontal="center" vertical="center"/>
    </xf>
    <xf numFmtId="0" fontId="15" fillId="0" borderId="8" xfId="0" applyFont="1" applyBorder="1" applyAlignment="1" applyProtection="1">
      <alignment horizontal="center" vertical="center"/>
    </xf>
    <xf numFmtId="0" fontId="15" fillId="0" borderId="22" xfId="0" applyFont="1" applyBorder="1" applyAlignment="1" applyProtection="1">
      <alignment horizontal="center" vertical="center"/>
    </xf>
    <xf numFmtId="0" fontId="15" fillId="0" borderId="9" xfId="0" applyFont="1" applyBorder="1" applyAlignment="1" applyProtection="1">
      <alignment horizontal="center" vertical="center"/>
    </xf>
    <xf numFmtId="0" fontId="17" fillId="2" borderId="0" xfId="0" applyFont="1" applyFill="1" applyBorder="1" applyAlignment="1" applyProtection="1">
      <alignment horizontal="center" vertical="center"/>
      <protection locked="0"/>
    </xf>
    <xf numFmtId="0" fontId="17" fillId="2" borderId="1" xfId="0" applyFont="1" applyFill="1" applyBorder="1" applyAlignment="1" applyProtection="1">
      <alignment horizontal="center" vertical="center"/>
      <protection locked="0"/>
    </xf>
    <xf numFmtId="0" fontId="12" fillId="0" borderId="0" xfId="0" applyFont="1" applyAlignment="1" applyProtection="1">
      <alignment horizontal="left" wrapText="1"/>
    </xf>
    <xf numFmtId="0" fontId="28" fillId="0" borderId="0" xfId="0" applyFont="1" applyAlignment="1" applyProtection="1">
      <alignment horizontal="left" vertical="center"/>
    </xf>
    <xf numFmtId="0" fontId="23" fillId="0" borderId="8" xfId="0" applyFont="1" applyBorder="1" applyAlignment="1" applyProtection="1">
      <alignment horizontal="center" vertical="center"/>
      <protection locked="0"/>
    </xf>
    <xf numFmtId="0" fontId="23" fillId="0" borderId="9" xfId="0" applyFont="1" applyBorder="1" applyAlignment="1" applyProtection="1">
      <alignment horizontal="center" vertical="center"/>
      <protection locked="0"/>
    </xf>
    <xf numFmtId="0" fontId="23" fillId="0" borderId="22" xfId="0" applyFont="1" applyBorder="1" applyAlignment="1" applyProtection="1">
      <alignment horizontal="center" vertical="center"/>
      <protection locked="0"/>
    </xf>
    <xf numFmtId="0" fontId="19" fillId="0" borderId="0" xfId="0" applyFont="1" applyBorder="1" applyAlignment="1" applyProtection="1">
      <alignment horizontal="center"/>
    </xf>
    <xf numFmtId="0" fontId="19" fillId="0" borderId="1" xfId="0" applyFont="1" applyBorder="1" applyAlignment="1" applyProtection="1">
      <alignment horizontal="center"/>
    </xf>
    <xf numFmtId="0" fontId="19" fillId="0" borderId="6" xfId="0" applyFont="1" applyBorder="1" applyAlignment="1" applyProtection="1">
      <alignment horizontal="center"/>
    </xf>
    <xf numFmtId="0" fontId="19" fillId="0" borderId="11" xfId="0" applyFont="1" applyBorder="1" applyAlignment="1" applyProtection="1">
      <alignment horizontal="center"/>
    </xf>
    <xf numFmtId="0" fontId="17" fillId="2" borderId="26" xfId="0" applyFont="1" applyFill="1" applyBorder="1" applyAlignment="1" applyProtection="1">
      <alignment horizontal="center" vertical="center"/>
    </xf>
    <xf numFmtId="0" fontId="17" fillId="2" borderId="38" xfId="0" applyFont="1" applyFill="1" applyBorder="1" applyAlignment="1" applyProtection="1">
      <alignment horizontal="center" vertical="center"/>
    </xf>
    <xf numFmtId="0" fontId="33" fillId="0" borderId="27" xfId="0" applyFont="1" applyBorder="1" applyAlignment="1" applyProtection="1">
      <alignment horizontal="center" vertical="center"/>
      <protection locked="0"/>
    </xf>
    <xf numFmtId="0" fontId="33" fillId="0" borderId="28" xfId="0" applyFont="1" applyBorder="1" applyAlignment="1" applyProtection="1">
      <alignment horizontal="center" vertical="center"/>
      <protection locked="0"/>
    </xf>
    <xf numFmtId="0" fontId="33" fillId="0" borderId="29"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0" fontId="15" fillId="0" borderId="9" xfId="0" applyFont="1" applyBorder="1" applyAlignment="1" applyProtection="1">
      <alignment horizontal="center" vertical="center"/>
      <protection locked="0"/>
    </xf>
    <xf numFmtId="0" fontId="34" fillId="0" borderId="31" xfId="2" applyBorder="1" applyAlignment="1" applyProtection="1">
      <alignment horizontal="center" vertical="center"/>
      <protection locked="0"/>
    </xf>
    <xf numFmtId="0" fontId="20" fillId="0" borderId="15" xfId="0" applyFont="1" applyBorder="1" applyAlignment="1" applyProtection="1">
      <alignment horizontal="center" vertical="center"/>
      <protection locked="0"/>
    </xf>
  </cellXfs>
  <cellStyles count="3">
    <cellStyle name="Köprü" xfId="2" builtinId="8"/>
    <cellStyle name="Normal" xfId="0" builtinId="0"/>
    <cellStyle name="ParaBirimi" xfId="1" builtin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checked="Checked"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checked="Checked"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checked="Checked"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checked="Checked"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checked="Checked"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checked="Checked"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checked="Checked"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checked="Checked"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checked="Checked"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checked="Checked"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checked="Checked" lockText="1" noThreeD="1"/>
</file>

<file path=xl/ctrlProps/ctrlProp99.xml><?xml version="1.0" encoding="utf-8"?>
<formControlPr xmlns="http://schemas.microsoft.com/office/spreadsheetml/2009/9/main" objectType="CheckBox"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checked="Checked"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checked="Checked"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checked="Checked" lockText="1" noThreeD="1"/>
</file>

<file path=xl/ctrlProps/ctrlProp122.xml><?xml version="1.0" encoding="utf-8"?>
<formControlPr xmlns="http://schemas.microsoft.com/office/spreadsheetml/2009/9/main" objectType="CheckBox" checked="Checked"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ctrlProps/ctrlProp133.xml><?xml version="1.0" encoding="utf-8"?>
<formControlPr xmlns="http://schemas.microsoft.com/office/spreadsheetml/2009/9/main" objectType="CheckBox" lockText="1" noThreeD="1"/>
</file>

<file path=xl/ctrlProps/ctrlProp134.xml><?xml version="1.0" encoding="utf-8"?>
<formControlPr xmlns="http://schemas.microsoft.com/office/spreadsheetml/2009/9/main" objectType="CheckBox" lockText="1" noThreeD="1"/>
</file>

<file path=xl/ctrlProps/ctrlProp135.xml><?xml version="1.0" encoding="utf-8"?>
<formControlPr xmlns="http://schemas.microsoft.com/office/spreadsheetml/2009/9/main" objectType="CheckBox" lockText="1" noThreeD="1"/>
</file>

<file path=xl/ctrlProps/ctrlProp136.xml><?xml version="1.0" encoding="utf-8"?>
<formControlPr xmlns="http://schemas.microsoft.com/office/spreadsheetml/2009/9/main" objectType="CheckBox" lockText="1" noThreeD="1"/>
</file>

<file path=xl/ctrlProps/ctrlProp137.xml><?xml version="1.0" encoding="utf-8"?>
<formControlPr xmlns="http://schemas.microsoft.com/office/spreadsheetml/2009/9/main" objectType="CheckBox" lockText="1" noThreeD="1"/>
</file>

<file path=xl/ctrlProps/ctrlProp138.xml><?xml version="1.0" encoding="utf-8"?>
<formControlPr xmlns="http://schemas.microsoft.com/office/spreadsheetml/2009/9/main" objectType="CheckBox" lockText="1" noThreeD="1"/>
</file>

<file path=xl/ctrlProps/ctrlProp139.xml><?xml version="1.0" encoding="utf-8"?>
<formControlPr xmlns="http://schemas.microsoft.com/office/spreadsheetml/2009/9/main" objectType="CheckBox" lockText="1" noThreeD="1"/>
</file>

<file path=xl/ctrlProps/ctrlProp140.xml><?xml version="1.0" encoding="utf-8"?>
<formControlPr xmlns="http://schemas.microsoft.com/office/spreadsheetml/2009/9/main" objectType="CheckBox" lockText="1" noThreeD="1"/>
</file>

<file path=xl/ctrlProps/ctrlProp141.xml><?xml version="1.0" encoding="utf-8"?>
<formControlPr xmlns="http://schemas.microsoft.com/office/spreadsheetml/2009/9/main" objectType="CheckBox" lockText="1" noThreeD="1"/>
</file>

<file path=xl/ctrlProps/ctrlProp142.xml><?xml version="1.0" encoding="utf-8"?>
<formControlPr xmlns="http://schemas.microsoft.com/office/spreadsheetml/2009/9/main" objectType="CheckBox" lockText="1" noThreeD="1"/>
</file>

<file path=xl/ctrlProps/ctrlProp143.xml><?xml version="1.0" encoding="utf-8"?>
<formControlPr xmlns="http://schemas.microsoft.com/office/spreadsheetml/2009/9/main" objectType="CheckBox" lockText="1" noThreeD="1"/>
</file>

<file path=xl/ctrlProps/ctrlProp144.xml><?xml version="1.0" encoding="utf-8"?>
<formControlPr xmlns="http://schemas.microsoft.com/office/spreadsheetml/2009/9/main" objectType="CheckBox" lockText="1" noThreeD="1"/>
</file>

<file path=xl/ctrlProps/ctrlProp145.xml><?xml version="1.0" encoding="utf-8"?>
<formControlPr xmlns="http://schemas.microsoft.com/office/spreadsheetml/2009/9/main" objectType="CheckBox" lockText="1" noThreeD="1"/>
</file>

<file path=xl/ctrlProps/ctrlProp146.xml><?xml version="1.0" encoding="utf-8"?>
<formControlPr xmlns="http://schemas.microsoft.com/office/spreadsheetml/2009/9/main" objectType="CheckBox" lockText="1" noThreeD="1"/>
</file>

<file path=xl/ctrlProps/ctrlProp147.xml><?xml version="1.0" encoding="utf-8"?>
<formControlPr xmlns="http://schemas.microsoft.com/office/spreadsheetml/2009/9/main" objectType="CheckBox" lockText="1" noThreeD="1"/>
</file>

<file path=xl/ctrlProps/ctrlProp148.xml><?xml version="1.0" encoding="utf-8"?>
<formControlPr xmlns="http://schemas.microsoft.com/office/spreadsheetml/2009/9/main" objectType="CheckBox" lockText="1" noThreeD="1"/>
</file>

<file path=xl/ctrlProps/ctrlProp149.xml><?xml version="1.0" encoding="utf-8"?>
<formControlPr xmlns="http://schemas.microsoft.com/office/spreadsheetml/2009/9/main" objectType="CheckBox" lockText="1" noThreeD="1"/>
</file>

<file path=xl/ctrlProps/ctrlProp150.xml><?xml version="1.0" encoding="utf-8"?>
<formControlPr xmlns="http://schemas.microsoft.com/office/spreadsheetml/2009/9/main" objectType="CheckBox" lockText="1" noThreeD="1"/>
</file>

<file path=xl/ctrlProps/ctrlProp151.xml><?xml version="1.0" encoding="utf-8"?>
<formControlPr xmlns="http://schemas.microsoft.com/office/spreadsheetml/2009/9/main" objectType="CheckBox" lockText="1" noThreeD="1"/>
</file>

<file path=xl/ctrlProps/ctrlProp152.xml><?xml version="1.0" encoding="utf-8"?>
<formControlPr xmlns="http://schemas.microsoft.com/office/spreadsheetml/2009/9/main" objectType="CheckBox" lockText="1" noThreeD="1"/>
</file>

<file path=xl/ctrlProps/ctrlProp153.xml><?xml version="1.0" encoding="utf-8"?>
<formControlPr xmlns="http://schemas.microsoft.com/office/spreadsheetml/2009/9/main" objectType="CheckBox" lockText="1" noThreeD="1"/>
</file>

<file path=xl/ctrlProps/ctrlProp154.xml><?xml version="1.0" encoding="utf-8"?>
<formControlPr xmlns="http://schemas.microsoft.com/office/spreadsheetml/2009/9/main" objectType="CheckBox" lockText="1" noThreeD="1"/>
</file>

<file path=xl/ctrlProps/ctrlProp155.xml><?xml version="1.0" encoding="utf-8"?>
<formControlPr xmlns="http://schemas.microsoft.com/office/spreadsheetml/2009/9/main" objectType="CheckBox" lockText="1" noThreeD="1"/>
</file>

<file path=xl/ctrlProps/ctrlProp156.xml><?xml version="1.0" encoding="utf-8"?>
<formControlPr xmlns="http://schemas.microsoft.com/office/spreadsheetml/2009/9/main" objectType="CheckBox" lockText="1" noThreeD="1"/>
</file>

<file path=xl/ctrlProps/ctrlProp157.xml><?xml version="1.0" encoding="utf-8"?>
<formControlPr xmlns="http://schemas.microsoft.com/office/spreadsheetml/2009/9/main" objectType="CheckBox" lockText="1" noThreeD="1"/>
</file>

<file path=xl/ctrlProps/ctrlProp158.xml><?xml version="1.0" encoding="utf-8"?>
<formControlPr xmlns="http://schemas.microsoft.com/office/spreadsheetml/2009/9/main" objectType="CheckBox" lockText="1" noThreeD="1"/>
</file>

<file path=xl/ctrlProps/ctrlProp159.xml><?xml version="1.0" encoding="utf-8"?>
<formControlPr xmlns="http://schemas.microsoft.com/office/spreadsheetml/2009/9/main" objectType="CheckBox" lockText="1" noThreeD="1"/>
</file>

<file path=xl/ctrlProps/ctrlProp160.xml><?xml version="1.0" encoding="utf-8"?>
<formControlPr xmlns="http://schemas.microsoft.com/office/spreadsheetml/2009/9/main" objectType="CheckBox" lockText="1" noThreeD="1"/>
</file>

<file path=xl/ctrlProps/ctrlProp161.xml><?xml version="1.0" encoding="utf-8"?>
<formControlPr xmlns="http://schemas.microsoft.com/office/spreadsheetml/2009/9/main" objectType="CheckBox" lockText="1" noThreeD="1"/>
</file>

<file path=xl/ctrlProps/ctrlProp162.xml><?xml version="1.0" encoding="utf-8"?>
<formControlPr xmlns="http://schemas.microsoft.com/office/spreadsheetml/2009/9/main" objectType="CheckBox" lockText="1" noThreeD="1"/>
</file>

<file path=xl/ctrlProps/ctrlProp163.xml><?xml version="1.0" encoding="utf-8"?>
<formControlPr xmlns="http://schemas.microsoft.com/office/spreadsheetml/2009/9/main" objectType="CheckBox" lockText="1" noThreeD="1"/>
</file>

<file path=xl/ctrlProps/ctrlProp164.xml><?xml version="1.0" encoding="utf-8"?>
<formControlPr xmlns="http://schemas.microsoft.com/office/spreadsheetml/2009/9/main" objectType="CheckBox" lockText="1" noThreeD="1"/>
</file>

<file path=xl/ctrlProps/ctrlProp165.xml><?xml version="1.0" encoding="utf-8"?>
<formControlPr xmlns="http://schemas.microsoft.com/office/spreadsheetml/2009/9/main" objectType="CheckBox" lockText="1" noThreeD="1"/>
</file>

<file path=xl/ctrlProps/ctrlProp166.xml><?xml version="1.0" encoding="utf-8"?>
<formControlPr xmlns="http://schemas.microsoft.com/office/spreadsheetml/2009/9/main" objectType="CheckBox" lockText="1" noThreeD="1"/>
</file>

<file path=xl/ctrlProps/ctrlProp167.xml><?xml version="1.0" encoding="utf-8"?>
<formControlPr xmlns="http://schemas.microsoft.com/office/spreadsheetml/2009/9/main" objectType="CheckBox" lockText="1" noThreeD="1"/>
</file>

<file path=xl/ctrlProps/ctrlProp168.xml><?xml version="1.0" encoding="utf-8"?>
<formControlPr xmlns="http://schemas.microsoft.com/office/spreadsheetml/2009/9/main" objectType="CheckBox" lockText="1" noThreeD="1"/>
</file>

<file path=xl/ctrlProps/ctrlProp169.xml><?xml version="1.0" encoding="utf-8"?>
<formControlPr xmlns="http://schemas.microsoft.com/office/spreadsheetml/2009/9/main" objectType="CheckBox" lockText="1" noThreeD="1"/>
</file>

<file path=xl/ctrlProps/ctrlProp170.xml><?xml version="1.0" encoding="utf-8"?>
<formControlPr xmlns="http://schemas.microsoft.com/office/spreadsheetml/2009/9/main" objectType="CheckBox" lockText="1" noThreeD="1"/>
</file>

<file path=xl/ctrlProps/ctrlProp171.xml><?xml version="1.0" encoding="utf-8"?>
<formControlPr xmlns="http://schemas.microsoft.com/office/spreadsheetml/2009/9/main" objectType="CheckBox" lockText="1" noThreeD="1"/>
</file>

<file path=xl/ctrlProps/ctrlProp172.xml><?xml version="1.0" encoding="utf-8"?>
<formControlPr xmlns="http://schemas.microsoft.com/office/spreadsheetml/2009/9/main" objectType="CheckBox" lockText="1" noThreeD="1"/>
</file>

<file path=xl/ctrlProps/ctrlProp173.xml><?xml version="1.0" encoding="utf-8"?>
<formControlPr xmlns="http://schemas.microsoft.com/office/spreadsheetml/2009/9/main" objectType="CheckBox" lockText="1" noThreeD="1"/>
</file>

<file path=xl/ctrlProps/ctrlProp174.xml><?xml version="1.0" encoding="utf-8"?>
<formControlPr xmlns="http://schemas.microsoft.com/office/spreadsheetml/2009/9/main" objectType="CheckBox" lockText="1" noThreeD="1"/>
</file>

<file path=xl/ctrlProps/ctrlProp175.xml><?xml version="1.0" encoding="utf-8"?>
<formControlPr xmlns="http://schemas.microsoft.com/office/spreadsheetml/2009/9/main" objectType="CheckBox" lockText="1" noThreeD="1"/>
</file>

<file path=xl/ctrlProps/ctrlProp176.xml><?xml version="1.0" encoding="utf-8"?>
<formControlPr xmlns="http://schemas.microsoft.com/office/spreadsheetml/2009/9/main" objectType="CheckBox" lockText="1" noThreeD="1"/>
</file>

<file path=xl/ctrlProps/ctrlProp177.xml><?xml version="1.0" encoding="utf-8"?>
<formControlPr xmlns="http://schemas.microsoft.com/office/spreadsheetml/2009/9/main" objectType="CheckBox" lockText="1" noThreeD="1"/>
</file>

<file path=xl/ctrlProps/ctrlProp178.xml><?xml version="1.0" encoding="utf-8"?>
<formControlPr xmlns="http://schemas.microsoft.com/office/spreadsheetml/2009/9/main" objectType="CheckBox" lockText="1" noThreeD="1"/>
</file>

<file path=xl/ctrlProps/ctrlProp179.xml><?xml version="1.0" encoding="utf-8"?>
<formControlPr xmlns="http://schemas.microsoft.com/office/spreadsheetml/2009/9/main" objectType="CheckBox" lockText="1" noThreeD="1"/>
</file>

<file path=xl/ctrlProps/ctrlProp180.xml><?xml version="1.0" encoding="utf-8"?>
<formControlPr xmlns="http://schemas.microsoft.com/office/spreadsheetml/2009/9/main" objectType="CheckBox" lockText="1" noThreeD="1"/>
</file>

<file path=xl/ctrlProps/ctrlProp181.xml><?xml version="1.0" encoding="utf-8"?>
<formControlPr xmlns="http://schemas.microsoft.com/office/spreadsheetml/2009/9/main" objectType="CheckBox" lockText="1" noThreeD="1"/>
</file>

<file path=xl/ctrlProps/ctrlProp182.xml><?xml version="1.0" encoding="utf-8"?>
<formControlPr xmlns="http://schemas.microsoft.com/office/spreadsheetml/2009/9/main" objectType="CheckBox" lockText="1" noThreeD="1"/>
</file>

<file path=xl/ctrlProps/ctrlProp183.xml><?xml version="1.0" encoding="utf-8"?>
<formControlPr xmlns="http://schemas.microsoft.com/office/spreadsheetml/2009/9/main" objectType="CheckBox" lockText="1" noThreeD="1"/>
</file>

<file path=xl/ctrlProps/ctrlProp184.xml><?xml version="1.0" encoding="utf-8"?>
<formControlPr xmlns="http://schemas.microsoft.com/office/spreadsheetml/2009/9/main" objectType="CheckBox" lockText="1" noThreeD="1"/>
</file>

<file path=xl/ctrlProps/ctrlProp185.xml><?xml version="1.0" encoding="utf-8"?>
<formControlPr xmlns="http://schemas.microsoft.com/office/spreadsheetml/2009/9/main" objectType="CheckBox" lockText="1" noThreeD="1"/>
</file>

<file path=xl/ctrlProps/ctrlProp186.xml><?xml version="1.0" encoding="utf-8"?>
<formControlPr xmlns="http://schemas.microsoft.com/office/spreadsheetml/2009/9/main" objectType="CheckBox" lockText="1" noThreeD="1"/>
</file>

<file path=xl/ctrlProps/ctrlProp187.xml><?xml version="1.0" encoding="utf-8"?>
<formControlPr xmlns="http://schemas.microsoft.com/office/spreadsheetml/2009/9/main" objectType="CheckBox" lockText="1" noThreeD="1"/>
</file>

<file path=xl/ctrlProps/ctrlProp188.xml><?xml version="1.0" encoding="utf-8"?>
<formControlPr xmlns="http://schemas.microsoft.com/office/spreadsheetml/2009/9/main" objectType="CheckBox" lockText="1" noThreeD="1"/>
</file>

<file path=xl/ctrlProps/ctrlProp189.xml><?xml version="1.0" encoding="utf-8"?>
<formControlPr xmlns="http://schemas.microsoft.com/office/spreadsheetml/2009/9/main" objectType="CheckBox" lockText="1" noThreeD="1"/>
</file>

<file path=xl/ctrlProps/ctrlProp190.xml><?xml version="1.0" encoding="utf-8"?>
<formControlPr xmlns="http://schemas.microsoft.com/office/spreadsheetml/2009/9/main" objectType="CheckBox" lockText="1" noThreeD="1"/>
</file>

<file path=xl/ctrlProps/ctrlProp191.xml><?xml version="1.0" encoding="utf-8"?>
<formControlPr xmlns="http://schemas.microsoft.com/office/spreadsheetml/2009/9/main" objectType="CheckBox" lockText="1" noThreeD="1"/>
</file>

<file path=xl/ctrlProps/ctrlProp192.xml><?xml version="1.0" encoding="utf-8"?>
<formControlPr xmlns="http://schemas.microsoft.com/office/spreadsheetml/2009/9/main" objectType="CheckBox" lockText="1" noThreeD="1"/>
</file>

<file path=xl/ctrlProps/ctrlProp193.xml><?xml version="1.0" encoding="utf-8"?>
<formControlPr xmlns="http://schemas.microsoft.com/office/spreadsheetml/2009/9/main" objectType="CheckBox" lockText="1" noThreeD="1"/>
</file>

<file path=xl/ctrlProps/ctrlProp194.xml><?xml version="1.0" encoding="utf-8"?>
<formControlPr xmlns="http://schemas.microsoft.com/office/spreadsheetml/2009/9/main" objectType="CheckBox" lockText="1" noThreeD="1"/>
</file>

<file path=xl/ctrlProps/ctrlProp195.xml><?xml version="1.0" encoding="utf-8"?>
<formControlPr xmlns="http://schemas.microsoft.com/office/spreadsheetml/2009/9/main" objectType="CheckBox" lockText="1" noThreeD="1"/>
</file>

<file path=xl/ctrlProps/ctrlProp196.xml><?xml version="1.0" encoding="utf-8"?>
<formControlPr xmlns="http://schemas.microsoft.com/office/spreadsheetml/2009/9/main" objectType="CheckBox" lockText="1" noThreeD="1"/>
</file>

<file path=xl/ctrlProps/ctrlProp197.xml><?xml version="1.0" encoding="utf-8"?>
<formControlPr xmlns="http://schemas.microsoft.com/office/spreadsheetml/2009/9/main" objectType="CheckBox" lockText="1" noThreeD="1"/>
</file>

<file path=xl/ctrlProps/ctrlProp198.xml><?xml version="1.0" encoding="utf-8"?>
<formControlPr xmlns="http://schemas.microsoft.com/office/spreadsheetml/2009/9/main" objectType="CheckBox" lockText="1" noThreeD="1"/>
</file>

<file path=xl/ctrlProps/ctrlProp199.xml><?xml version="1.0" encoding="utf-8"?>
<formControlPr xmlns="http://schemas.microsoft.com/office/spreadsheetml/2009/9/main" objectType="CheckBox" lockText="1" noThreeD="1"/>
</file>

<file path=xl/ctrlProps/ctrlProp200.xml><?xml version="1.0" encoding="utf-8"?>
<formControlPr xmlns="http://schemas.microsoft.com/office/spreadsheetml/2009/9/main" objectType="CheckBox" lockText="1" noThreeD="1"/>
</file>

<file path=xl/ctrlProps/ctrlProp201.xml><?xml version="1.0" encoding="utf-8"?>
<formControlPr xmlns="http://schemas.microsoft.com/office/spreadsheetml/2009/9/main" objectType="CheckBox" lockText="1" noThreeD="1"/>
</file>

<file path=xl/ctrlProps/ctrlProp202.xml><?xml version="1.0" encoding="utf-8"?>
<formControlPr xmlns="http://schemas.microsoft.com/office/spreadsheetml/2009/9/main" objectType="CheckBox" lockText="1" noThreeD="1"/>
</file>

<file path=xl/ctrlProps/ctrlProp203.xml><?xml version="1.0" encoding="utf-8"?>
<formControlPr xmlns="http://schemas.microsoft.com/office/spreadsheetml/2009/9/main" objectType="CheckBox" lockText="1" noThreeD="1"/>
</file>

<file path=xl/ctrlProps/ctrlProp204.xml><?xml version="1.0" encoding="utf-8"?>
<formControlPr xmlns="http://schemas.microsoft.com/office/spreadsheetml/2009/9/main" objectType="CheckBox" lockText="1" noThreeD="1"/>
</file>

<file path=xl/ctrlProps/ctrlProp205.xml><?xml version="1.0" encoding="utf-8"?>
<formControlPr xmlns="http://schemas.microsoft.com/office/spreadsheetml/2009/9/main" objectType="CheckBox" lockText="1" noThreeD="1"/>
</file>

<file path=xl/ctrlProps/ctrlProp206.xml><?xml version="1.0" encoding="utf-8"?>
<formControlPr xmlns="http://schemas.microsoft.com/office/spreadsheetml/2009/9/main" objectType="CheckBox" lockText="1" noThreeD="1"/>
</file>

<file path=xl/ctrlProps/ctrlProp207.xml><?xml version="1.0" encoding="utf-8"?>
<formControlPr xmlns="http://schemas.microsoft.com/office/spreadsheetml/2009/9/main" objectType="CheckBox" lockText="1" noThreeD="1"/>
</file>

<file path=xl/ctrlProps/ctrlProp208.xml><?xml version="1.0" encoding="utf-8"?>
<formControlPr xmlns="http://schemas.microsoft.com/office/spreadsheetml/2009/9/main" objectType="CheckBox" lockText="1" noThreeD="1"/>
</file>

<file path=xl/ctrlProps/ctrlProp209.xml><?xml version="1.0" encoding="utf-8"?>
<formControlPr xmlns="http://schemas.microsoft.com/office/spreadsheetml/2009/9/main" objectType="CheckBox" lockText="1" noThreeD="1"/>
</file>

<file path=xl/ctrlProps/ctrlProp210.xml><?xml version="1.0" encoding="utf-8"?>
<formControlPr xmlns="http://schemas.microsoft.com/office/spreadsheetml/2009/9/main" objectType="CheckBox" lockText="1" noThreeD="1"/>
</file>

<file path=xl/ctrlProps/ctrlProp211.xml><?xml version="1.0" encoding="utf-8"?>
<formControlPr xmlns="http://schemas.microsoft.com/office/spreadsheetml/2009/9/main" objectType="CheckBox" lockText="1" noThreeD="1"/>
</file>

<file path=xl/ctrlProps/ctrlProp212.xml><?xml version="1.0" encoding="utf-8"?>
<formControlPr xmlns="http://schemas.microsoft.com/office/spreadsheetml/2009/9/main" objectType="CheckBox" lockText="1" noThreeD="1"/>
</file>

<file path=xl/ctrlProps/ctrlProp213.xml><?xml version="1.0" encoding="utf-8"?>
<formControlPr xmlns="http://schemas.microsoft.com/office/spreadsheetml/2009/9/main" objectType="CheckBox" lockText="1" noThreeD="1"/>
</file>

<file path=xl/ctrlProps/ctrlProp214.xml><?xml version="1.0" encoding="utf-8"?>
<formControlPr xmlns="http://schemas.microsoft.com/office/spreadsheetml/2009/9/main" objectType="CheckBox" lockText="1" noThreeD="1"/>
</file>

<file path=xl/ctrlProps/ctrlProp215.xml><?xml version="1.0" encoding="utf-8"?>
<formControlPr xmlns="http://schemas.microsoft.com/office/spreadsheetml/2009/9/main" objectType="CheckBox" lockText="1" noThreeD="1"/>
</file>

<file path=xl/ctrlProps/ctrlProp216.xml><?xml version="1.0" encoding="utf-8"?>
<formControlPr xmlns="http://schemas.microsoft.com/office/spreadsheetml/2009/9/main" objectType="CheckBox" lockText="1" noThreeD="1"/>
</file>

<file path=xl/ctrlProps/ctrlProp217.xml><?xml version="1.0" encoding="utf-8"?>
<formControlPr xmlns="http://schemas.microsoft.com/office/spreadsheetml/2009/9/main" objectType="CheckBox" lockText="1" noThreeD="1"/>
</file>

<file path=xl/ctrlProps/ctrlProp218.xml><?xml version="1.0" encoding="utf-8"?>
<formControlPr xmlns="http://schemas.microsoft.com/office/spreadsheetml/2009/9/main" objectType="CheckBox" lockText="1" noThreeD="1"/>
</file>

<file path=xl/ctrlProps/ctrlProp219.xml><?xml version="1.0" encoding="utf-8"?>
<formControlPr xmlns="http://schemas.microsoft.com/office/spreadsheetml/2009/9/main" objectType="CheckBox" lockText="1" noThreeD="1"/>
</file>

<file path=xl/ctrlProps/ctrlProp220.xml><?xml version="1.0" encoding="utf-8"?>
<formControlPr xmlns="http://schemas.microsoft.com/office/spreadsheetml/2009/9/main" objectType="CheckBox" lockText="1" noThreeD="1"/>
</file>

<file path=xl/ctrlProps/ctrlProp221.xml><?xml version="1.0" encoding="utf-8"?>
<formControlPr xmlns="http://schemas.microsoft.com/office/spreadsheetml/2009/9/main" objectType="CheckBox" lockText="1" noThreeD="1"/>
</file>

<file path=xl/ctrlProps/ctrlProp222.xml><?xml version="1.0" encoding="utf-8"?>
<formControlPr xmlns="http://schemas.microsoft.com/office/spreadsheetml/2009/9/main" objectType="CheckBox" lockText="1" noThreeD="1"/>
</file>

<file path=xl/ctrlProps/ctrlProp223.xml><?xml version="1.0" encoding="utf-8"?>
<formControlPr xmlns="http://schemas.microsoft.com/office/spreadsheetml/2009/9/main" objectType="CheckBox" lockText="1" noThreeD="1"/>
</file>

<file path=xl/ctrlProps/ctrlProp224.xml><?xml version="1.0" encoding="utf-8"?>
<formControlPr xmlns="http://schemas.microsoft.com/office/spreadsheetml/2009/9/main" objectType="CheckBox" lockText="1" noThreeD="1"/>
</file>

<file path=xl/ctrlProps/ctrlProp225.xml><?xml version="1.0" encoding="utf-8"?>
<formControlPr xmlns="http://schemas.microsoft.com/office/spreadsheetml/2009/9/main" objectType="CheckBox" lockText="1" noThreeD="1"/>
</file>

<file path=xl/ctrlProps/ctrlProp226.xml><?xml version="1.0" encoding="utf-8"?>
<formControlPr xmlns="http://schemas.microsoft.com/office/spreadsheetml/2009/9/main" objectType="CheckBox" lockText="1" noThreeD="1"/>
</file>

<file path=xl/ctrlProps/ctrlProp227.xml><?xml version="1.0" encoding="utf-8"?>
<formControlPr xmlns="http://schemas.microsoft.com/office/spreadsheetml/2009/9/main" objectType="CheckBox" lockText="1" noThreeD="1"/>
</file>

<file path=xl/ctrlProps/ctrlProp228.xml><?xml version="1.0" encoding="utf-8"?>
<formControlPr xmlns="http://schemas.microsoft.com/office/spreadsheetml/2009/9/main" objectType="CheckBox" lockText="1" noThreeD="1"/>
</file>

<file path=xl/ctrlProps/ctrlProp229.xml><?xml version="1.0" encoding="utf-8"?>
<formControlPr xmlns="http://schemas.microsoft.com/office/spreadsheetml/2009/9/main" objectType="CheckBox" lockText="1" noThreeD="1"/>
</file>

<file path=xl/ctrlProps/ctrlProp230.xml><?xml version="1.0" encoding="utf-8"?>
<formControlPr xmlns="http://schemas.microsoft.com/office/spreadsheetml/2009/9/main" objectType="CheckBox" lockText="1" noThreeD="1"/>
</file>

<file path=xl/ctrlProps/ctrlProp231.xml><?xml version="1.0" encoding="utf-8"?>
<formControlPr xmlns="http://schemas.microsoft.com/office/spreadsheetml/2009/9/main" objectType="CheckBox" lockText="1" noThreeD="1"/>
</file>

<file path=xl/ctrlProps/ctrlProp232.xml><?xml version="1.0" encoding="utf-8"?>
<formControlPr xmlns="http://schemas.microsoft.com/office/spreadsheetml/2009/9/main" objectType="CheckBox" lockText="1" noThreeD="1"/>
</file>

<file path=xl/ctrlProps/ctrlProp233.xml><?xml version="1.0" encoding="utf-8"?>
<formControlPr xmlns="http://schemas.microsoft.com/office/spreadsheetml/2009/9/main" objectType="CheckBox" lockText="1" noThreeD="1"/>
</file>

<file path=xl/ctrlProps/ctrlProp234.xml><?xml version="1.0" encoding="utf-8"?>
<formControlPr xmlns="http://schemas.microsoft.com/office/spreadsheetml/2009/9/main" objectType="CheckBox" lockText="1" noThreeD="1"/>
</file>

<file path=xl/ctrlProps/ctrlProp235.xml><?xml version="1.0" encoding="utf-8"?>
<formControlPr xmlns="http://schemas.microsoft.com/office/spreadsheetml/2009/9/main" objectType="CheckBox" lockText="1" noThreeD="1"/>
</file>

<file path=xl/ctrlProps/ctrlProp236.xml><?xml version="1.0" encoding="utf-8"?>
<formControlPr xmlns="http://schemas.microsoft.com/office/spreadsheetml/2009/9/main" objectType="CheckBox" lockText="1" noThreeD="1"/>
</file>

<file path=xl/ctrlProps/ctrlProp237.xml><?xml version="1.0" encoding="utf-8"?>
<formControlPr xmlns="http://schemas.microsoft.com/office/spreadsheetml/2009/9/main" objectType="CheckBox" lockText="1" noThreeD="1"/>
</file>

<file path=xl/ctrlProps/ctrlProp238.xml><?xml version="1.0" encoding="utf-8"?>
<formControlPr xmlns="http://schemas.microsoft.com/office/spreadsheetml/2009/9/main" objectType="CheckBox" lockText="1" noThreeD="1"/>
</file>

<file path=xl/ctrlProps/ctrlProp239.xml><?xml version="1.0" encoding="utf-8"?>
<formControlPr xmlns="http://schemas.microsoft.com/office/spreadsheetml/2009/9/main" objectType="CheckBox" lockText="1" noThreeD="1"/>
</file>

<file path=xl/ctrlProps/ctrlProp240.xml><?xml version="1.0" encoding="utf-8"?>
<formControlPr xmlns="http://schemas.microsoft.com/office/spreadsheetml/2009/9/main" objectType="CheckBox" lockText="1" noThreeD="1"/>
</file>

<file path=xl/ctrlProps/ctrlProp241.xml><?xml version="1.0" encoding="utf-8"?>
<formControlPr xmlns="http://schemas.microsoft.com/office/spreadsheetml/2009/9/main" objectType="CheckBox" lockText="1" noThreeD="1"/>
</file>

<file path=xl/ctrlProps/ctrlProp242.xml><?xml version="1.0" encoding="utf-8"?>
<formControlPr xmlns="http://schemas.microsoft.com/office/spreadsheetml/2009/9/main" objectType="CheckBox" lockText="1" noThreeD="1"/>
</file>

<file path=xl/ctrlProps/ctrlProp243.xml><?xml version="1.0" encoding="utf-8"?>
<formControlPr xmlns="http://schemas.microsoft.com/office/spreadsheetml/2009/9/main" objectType="CheckBox" lockText="1" noThreeD="1"/>
</file>

<file path=xl/ctrlProps/ctrlProp244.xml><?xml version="1.0" encoding="utf-8"?>
<formControlPr xmlns="http://schemas.microsoft.com/office/spreadsheetml/2009/9/main" objectType="CheckBox" lockText="1" noThreeD="1"/>
</file>

<file path=xl/ctrlProps/ctrlProp245.xml><?xml version="1.0" encoding="utf-8"?>
<formControlPr xmlns="http://schemas.microsoft.com/office/spreadsheetml/2009/9/main" objectType="CheckBox" lockText="1" noThreeD="1"/>
</file>

<file path=xl/ctrlProps/ctrlProp246.xml><?xml version="1.0" encoding="utf-8"?>
<formControlPr xmlns="http://schemas.microsoft.com/office/spreadsheetml/2009/9/main" objectType="CheckBox" lockText="1" noThreeD="1"/>
</file>

<file path=xl/ctrlProps/ctrlProp247.xml><?xml version="1.0" encoding="utf-8"?>
<formControlPr xmlns="http://schemas.microsoft.com/office/spreadsheetml/2009/9/main" objectType="CheckBox" lockText="1" noThreeD="1"/>
</file>

<file path=xl/ctrlProps/ctrlProp248.xml><?xml version="1.0" encoding="utf-8"?>
<formControlPr xmlns="http://schemas.microsoft.com/office/spreadsheetml/2009/9/main" objectType="CheckBox" lockText="1" noThreeD="1"/>
</file>

<file path=xl/ctrlProps/ctrlProp249.xml><?xml version="1.0" encoding="utf-8"?>
<formControlPr xmlns="http://schemas.microsoft.com/office/spreadsheetml/2009/9/main" objectType="CheckBox" lockText="1" noThreeD="1"/>
</file>

<file path=xl/ctrlProps/ctrlProp250.xml><?xml version="1.0" encoding="utf-8"?>
<formControlPr xmlns="http://schemas.microsoft.com/office/spreadsheetml/2009/9/main" objectType="CheckBox" lockText="1" noThreeD="1"/>
</file>

<file path=xl/ctrlProps/ctrlProp251.xml><?xml version="1.0" encoding="utf-8"?>
<formControlPr xmlns="http://schemas.microsoft.com/office/spreadsheetml/2009/9/main" objectType="CheckBox" lockText="1" noThreeD="1"/>
</file>

<file path=xl/ctrlProps/ctrlProp252.xml><?xml version="1.0" encoding="utf-8"?>
<formControlPr xmlns="http://schemas.microsoft.com/office/spreadsheetml/2009/9/main" objectType="CheckBox" lockText="1" noThreeD="1"/>
</file>

<file path=xl/ctrlProps/ctrlProp253.xml><?xml version="1.0" encoding="utf-8"?>
<formControlPr xmlns="http://schemas.microsoft.com/office/spreadsheetml/2009/9/main" objectType="CheckBox" lockText="1" noThreeD="1"/>
</file>

<file path=xl/ctrlProps/ctrlProp254.xml><?xml version="1.0" encoding="utf-8"?>
<formControlPr xmlns="http://schemas.microsoft.com/office/spreadsheetml/2009/9/main" objectType="CheckBox" lockText="1" noThreeD="1"/>
</file>

<file path=xl/ctrlProps/ctrlProp255.xml><?xml version="1.0" encoding="utf-8"?>
<formControlPr xmlns="http://schemas.microsoft.com/office/spreadsheetml/2009/9/main" objectType="CheckBox" lockText="1" noThreeD="1"/>
</file>

<file path=xl/ctrlProps/ctrlProp256.xml><?xml version="1.0" encoding="utf-8"?>
<formControlPr xmlns="http://schemas.microsoft.com/office/spreadsheetml/2009/9/main" objectType="CheckBox" lockText="1" noThreeD="1"/>
</file>

<file path=xl/ctrlProps/ctrlProp257.xml><?xml version="1.0" encoding="utf-8"?>
<formControlPr xmlns="http://schemas.microsoft.com/office/spreadsheetml/2009/9/main" objectType="CheckBox" lockText="1" noThreeD="1"/>
</file>

<file path=xl/ctrlProps/ctrlProp258.xml><?xml version="1.0" encoding="utf-8"?>
<formControlPr xmlns="http://schemas.microsoft.com/office/spreadsheetml/2009/9/main" objectType="CheckBox" lockText="1" noThreeD="1"/>
</file>

<file path=xl/ctrlProps/ctrlProp259.xml><?xml version="1.0" encoding="utf-8"?>
<formControlPr xmlns="http://schemas.microsoft.com/office/spreadsheetml/2009/9/main" objectType="CheckBox" lockText="1" noThreeD="1"/>
</file>

<file path=xl/ctrlProps/ctrlProp260.xml><?xml version="1.0" encoding="utf-8"?>
<formControlPr xmlns="http://schemas.microsoft.com/office/spreadsheetml/2009/9/main" objectType="CheckBox" lockText="1" noThreeD="1"/>
</file>

<file path=xl/ctrlProps/ctrlProp261.xml><?xml version="1.0" encoding="utf-8"?>
<formControlPr xmlns="http://schemas.microsoft.com/office/spreadsheetml/2009/9/main" objectType="CheckBox" lockText="1" noThreeD="1"/>
</file>

<file path=xl/ctrlProps/ctrlProp262.xml><?xml version="1.0" encoding="utf-8"?>
<formControlPr xmlns="http://schemas.microsoft.com/office/spreadsheetml/2009/9/main" objectType="CheckBox" lockText="1" noThreeD="1"/>
</file>

<file path=xl/ctrlProps/ctrlProp263.xml><?xml version="1.0" encoding="utf-8"?>
<formControlPr xmlns="http://schemas.microsoft.com/office/spreadsheetml/2009/9/main" objectType="CheckBox" lockText="1" noThreeD="1"/>
</file>

<file path=xl/ctrlProps/ctrlProp264.xml><?xml version="1.0" encoding="utf-8"?>
<formControlPr xmlns="http://schemas.microsoft.com/office/spreadsheetml/2009/9/main" objectType="CheckBox" lockText="1" noThreeD="1"/>
</file>

<file path=xl/ctrlProps/ctrlProp265.xml><?xml version="1.0" encoding="utf-8"?>
<formControlPr xmlns="http://schemas.microsoft.com/office/spreadsheetml/2009/9/main" objectType="CheckBox" lockText="1" noThreeD="1"/>
</file>

<file path=xl/ctrlProps/ctrlProp266.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2344560" y="155280"/>
          <a:ext cx="4030367" cy="1776351"/>
        </a:xfrm>
        <a:prstGeom prst="rect">
          <a:avLst/>
        </a:prstGeom>
      </xdr:spPr>
    </xdr:pic>
    <xdr:clientData/>
  </xdr:twoCellAnchor>
  <xdr:twoCellAnchor editAs="oneCell">
    <xdr:from>
      <xdr:col>2</xdr:col>
      <xdr:colOff>802821</xdr:colOff>
      <xdr:row>215</xdr:row>
      <xdr:rowOff>231323</xdr:rowOff>
    </xdr:from>
    <xdr:to>
      <xdr:col>11</xdr:col>
      <xdr:colOff>98404</xdr:colOff>
      <xdr:row>219</xdr:row>
      <xdr:rowOff>176895</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265464" y="71750466"/>
          <a:ext cx="15773833" cy="1306286"/>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67163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30721" name="Check Box 1" hidden="1">
              <a:extLst>
                <a:ext uri="{63B3BB69-23CF-44E3-9099-C40C66FF867C}">
                  <a14:compatExt spid="_x0000_s307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30722" name="Check Box 2" hidden="1">
              <a:extLst>
                <a:ext uri="{63B3BB69-23CF-44E3-9099-C40C66FF867C}">
                  <a14:compatExt spid="_x0000_s307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30723" name="Check Box 3" hidden="1">
              <a:extLst>
                <a:ext uri="{63B3BB69-23CF-44E3-9099-C40C66FF867C}">
                  <a14:compatExt spid="_x0000_s307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30724" name="Check Box 4" hidden="1">
              <a:extLst>
                <a:ext uri="{63B3BB69-23CF-44E3-9099-C40C66FF867C}">
                  <a14:compatExt spid="_x0000_s307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30725" name="Check Box 5" hidden="1">
              <a:extLst>
                <a:ext uri="{63B3BB69-23CF-44E3-9099-C40C66FF867C}">
                  <a14:compatExt spid="_x0000_s307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30726" name="Check Box 6" hidden="1">
              <a:extLst>
                <a:ext uri="{63B3BB69-23CF-44E3-9099-C40C66FF867C}">
                  <a14:compatExt spid="_x0000_s307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30727" name="Check Box 7" hidden="1">
              <a:extLst>
                <a:ext uri="{63B3BB69-23CF-44E3-9099-C40C66FF867C}">
                  <a14:compatExt spid="_x0000_s307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30728" name="Check Box 8" hidden="1">
              <a:extLst>
                <a:ext uri="{63B3BB69-23CF-44E3-9099-C40C66FF867C}">
                  <a14:compatExt spid="_x0000_s307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30729" name="Check Box 9" hidden="1">
              <a:extLst>
                <a:ext uri="{63B3BB69-23CF-44E3-9099-C40C66FF867C}">
                  <a14:compatExt spid="_x0000_s307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144</xdr:row>
          <xdr:rowOff>28575</xdr:rowOff>
        </xdr:from>
        <xdr:to>
          <xdr:col>8</xdr:col>
          <xdr:colOff>190500</xdr:colOff>
          <xdr:row>144</xdr:row>
          <xdr:rowOff>285750</xdr:rowOff>
        </xdr:to>
        <xdr:sp macro="" textlink="">
          <xdr:nvSpPr>
            <xdr:cNvPr id="30730" name="Check Box 10" hidden="1">
              <a:extLst>
                <a:ext uri="{63B3BB69-23CF-44E3-9099-C40C66FF867C}">
                  <a14:compatExt spid="_x0000_s307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144</xdr:row>
          <xdr:rowOff>323850</xdr:rowOff>
        </xdr:from>
        <xdr:to>
          <xdr:col>8</xdr:col>
          <xdr:colOff>695325</xdr:colOff>
          <xdr:row>145</xdr:row>
          <xdr:rowOff>323850</xdr:rowOff>
        </xdr:to>
        <xdr:sp macro="" textlink="">
          <xdr:nvSpPr>
            <xdr:cNvPr id="30731" name="Check Box 11" hidden="1">
              <a:extLst>
                <a:ext uri="{63B3BB69-23CF-44E3-9099-C40C66FF867C}">
                  <a14:compatExt spid="_x0000_s307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145</xdr:row>
          <xdr:rowOff>333375</xdr:rowOff>
        </xdr:from>
        <xdr:to>
          <xdr:col>8</xdr:col>
          <xdr:colOff>9525</xdr:colOff>
          <xdr:row>147</xdr:row>
          <xdr:rowOff>0</xdr:rowOff>
        </xdr:to>
        <xdr:sp macro="" textlink="">
          <xdr:nvSpPr>
            <xdr:cNvPr id="30732" name="Check Box 12" hidden="1">
              <a:extLst>
                <a:ext uri="{63B3BB69-23CF-44E3-9099-C40C66FF867C}">
                  <a14:compatExt spid="_x0000_s307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150</xdr:row>
          <xdr:rowOff>57150</xdr:rowOff>
        </xdr:from>
        <xdr:to>
          <xdr:col>6</xdr:col>
          <xdr:colOff>1019175</xdr:colOff>
          <xdr:row>150</xdr:row>
          <xdr:rowOff>314325</xdr:rowOff>
        </xdr:to>
        <xdr:sp macro="" textlink="">
          <xdr:nvSpPr>
            <xdr:cNvPr id="30733" name="Check Box 13" hidden="1">
              <a:extLst>
                <a:ext uri="{63B3BB69-23CF-44E3-9099-C40C66FF867C}">
                  <a14:compatExt spid="_x0000_s307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149</xdr:row>
          <xdr:rowOff>28575</xdr:rowOff>
        </xdr:from>
        <xdr:to>
          <xdr:col>6</xdr:col>
          <xdr:colOff>419100</xdr:colOff>
          <xdr:row>149</xdr:row>
          <xdr:rowOff>276225</xdr:rowOff>
        </xdr:to>
        <xdr:sp macro="" textlink="">
          <xdr:nvSpPr>
            <xdr:cNvPr id="30734" name="Check Box 14" hidden="1">
              <a:extLst>
                <a:ext uri="{63B3BB69-23CF-44E3-9099-C40C66FF867C}">
                  <a14:compatExt spid="_x0000_s307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151</xdr:row>
          <xdr:rowOff>38100</xdr:rowOff>
        </xdr:from>
        <xdr:to>
          <xdr:col>6</xdr:col>
          <xdr:colOff>990600</xdr:colOff>
          <xdr:row>151</xdr:row>
          <xdr:rowOff>295275</xdr:rowOff>
        </xdr:to>
        <xdr:sp macro="" textlink="">
          <xdr:nvSpPr>
            <xdr:cNvPr id="30735" name="Check Box 15" hidden="1">
              <a:extLst>
                <a:ext uri="{63B3BB69-23CF-44E3-9099-C40C66FF867C}">
                  <a14:compatExt spid="_x0000_s307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150</xdr:row>
          <xdr:rowOff>57150</xdr:rowOff>
        </xdr:from>
        <xdr:to>
          <xdr:col>8</xdr:col>
          <xdr:colOff>971550</xdr:colOff>
          <xdr:row>150</xdr:row>
          <xdr:rowOff>285750</xdr:rowOff>
        </xdr:to>
        <xdr:sp macro="" textlink="">
          <xdr:nvSpPr>
            <xdr:cNvPr id="30736" name="Check Box 16" hidden="1">
              <a:extLst>
                <a:ext uri="{63B3BB69-23CF-44E3-9099-C40C66FF867C}">
                  <a14:compatExt spid="_x0000_s307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151</xdr:row>
          <xdr:rowOff>38100</xdr:rowOff>
        </xdr:from>
        <xdr:to>
          <xdr:col>8</xdr:col>
          <xdr:colOff>476250</xdr:colOff>
          <xdr:row>151</xdr:row>
          <xdr:rowOff>295275</xdr:rowOff>
        </xdr:to>
        <xdr:sp macro="" textlink="">
          <xdr:nvSpPr>
            <xdr:cNvPr id="30737" name="Check Box 17" hidden="1">
              <a:extLst>
                <a:ext uri="{63B3BB69-23CF-44E3-9099-C40C66FF867C}">
                  <a14:compatExt spid="_x0000_s307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304800</xdr:rowOff>
        </xdr:to>
        <xdr:sp macro="" textlink="">
          <xdr:nvSpPr>
            <xdr:cNvPr id="30738" name="Check Box 18" hidden="1">
              <a:extLst>
                <a:ext uri="{63B3BB69-23CF-44E3-9099-C40C66FF867C}">
                  <a14:compatExt spid="_x0000_s307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922812</xdr:colOff>
      <xdr:row>135</xdr:row>
      <xdr:rowOff>54428</xdr:rowOff>
    </xdr:from>
    <xdr:to>
      <xdr:col>11</xdr:col>
      <xdr:colOff>218395</xdr:colOff>
      <xdr:row>139</xdr:row>
      <xdr:rowOff>1</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390403" y="45462701"/>
          <a:ext cx="15747856" cy="1331027"/>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48129" name="Check Box 1" hidden="1">
              <a:extLst>
                <a:ext uri="{63B3BB69-23CF-44E3-9099-C40C66FF867C}">
                  <a14:compatExt spid="_x0000_s481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48130" name="Check Box 2" hidden="1">
              <a:extLst>
                <a:ext uri="{63B3BB69-23CF-44E3-9099-C40C66FF867C}">
                  <a14:compatExt spid="_x0000_s481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48131" name="Check Box 3" hidden="1">
              <a:extLst>
                <a:ext uri="{63B3BB69-23CF-44E3-9099-C40C66FF867C}">
                  <a14:compatExt spid="_x0000_s481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48132" name="Check Box 4" hidden="1">
              <a:extLst>
                <a:ext uri="{63B3BB69-23CF-44E3-9099-C40C66FF867C}">
                  <a14:compatExt spid="_x0000_s481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48133" name="Check Box 5" hidden="1">
              <a:extLst>
                <a:ext uri="{63B3BB69-23CF-44E3-9099-C40C66FF867C}">
                  <a14:compatExt spid="_x0000_s481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48134" name="Check Box 6" hidden="1">
              <a:extLst>
                <a:ext uri="{63B3BB69-23CF-44E3-9099-C40C66FF867C}">
                  <a14:compatExt spid="_x0000_s481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48135" name="Check Box 7" hidden="1">
              <a:extLst>
                <a:ext uri="{63B3BB69-23CF-44E3-9099-C40C66FF867C}">
                  <a14:compatExt spid="_x0000_s481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48136" name="Check Box 8" hidden="1">
              <a:extLst>
                <a:ext uri="{63B3BB69-23CF-44E3-9099-C40C66FF867C}">
                  <a14:compatExt spid="_x0000_s481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48137" name="Check Box 9" hidden="1">
              <a:extLst>
                <a:ext uri="{63B3BB69-23CF-44E3-9099-C40C66FF867C}">
                  <a14:compatExt spid="_x0000_s481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75</xdr:row>
          <xdr:rowOff>28575</xdr:rowOff>
        </xdr:from>
        <xdr:to>
          <xdr:col>8</xdr:col>
          <xdr:colOff>190500</xdr:colOff>
          <xdr:row>75</xdr:row>
          <xdr:rowOff>285750</xdr:rowOff>
        </xdr:to>
        <xdr:sp macro="" textlink="">
          <xdr:nvSpPr>
            <xdr:cNvPr id="48138" name="Check Box 10" hidden="1">
              <a:extLst>
                <a:ext uri="{63B3BB69-23CF-44E3-9099-C40C66FF867C}">
                  <a14:compatExt spid="_x0000_s481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75</xdr:row>
          <xdr:rowOff>323850</xdr:rowOff>
        </xdr:from>
        <xdr:to>
          <xdr:col>8</xdr:col>
          <xdr:colOff>695325</xdr:colOff>
          <xdr:row>76</xdr:row>
          <xdr:rowOff>323850</xdr:rowOff>
        </xdr:to>
        <xdr:sp macro="" textlink="">
          <xdr:nvSpPr>
            <xdr:cNvPr id="48139" name="Check Box 11" hidden="1">
              <a:extLst>
                <a:ext uri="{63B3BB69-23CF-44E3-9099-C40C66FF867C}">
                  <a14:compatExt spid="_x0000_s481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76</xdr:row>
          <xdr:rowOff>333375</xdr:rowOff>
        </xdr:from>
        <xdr:to>
          <xdr:col>8</xdr:col>
          <xdr:colOff>9525</xdr:colOff>
          <xdr:row>78</xdr:row>
          <xdr:rowOff>0</xdr:rowOff>
        </xdr:to>
        <xdr:sp macro="" textlink="">
          <xdr:nvSpPr>
            <xdr:cNvPr id="48140" name="Check Box 12" hidden="1">
              <a:extLst>
                <a:ext uri="{63B3BB69-23CF-44E3-9099-C40C66FF867C}">
                  <a14:compatExt spid="_x0000_s481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81</xdr:row>
          <xdr:rowOff>57150</xdr:rowOff>
        </xdr:from>
        <xdr:to>
          <xdr:col>6</xdr:col>
          <xdr:colOff>1019175</xdr:colOff>
          <xdr:row>81</xdr:row>
          <xdr:rowOff>314325</xdr:rowOff>
        </xdr:to>
        <xdr:sp macro="" textlink="">
          <xdr:nvSpPr>
            <xdr:cNvPr id="48141" name="Check Box 13" hidden="1">
              <a:extLst>
                <a:ext uri="{63B3BB69-23CF-44E3-9099-C40C66FF867C}">
                  <a14:compatExt spid="_x0000_s481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80</xdr:row>
          <xdr:rowOff>28575</xdr:rowOff>
        </xdr:from>
        <xdr:to>
          <xdr:col>6</xdr:col>
          <xdr:colOff>419100</xdr:colOff>
          <xdr:row>80</xdr:row>
          <xdr:rowOff>276225</xdr:rowOff>
        </xdr:to>
        <xdr:sp macro="" textlink="">
          <xdr:nvSpPr>
            <xdr:cNvPr id="48142" name="Check Box 14" hidden="1">
              <a:extLst>
                <a:ext uri="{63B3BB69-23CF-44E3-9099-C40C66FF867C}">
                  <a14:compatExt spid="_x0000_s481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82</xdr:row>
          <xdr:rowOff>38100</xdr:rowOff>
        </xdr:from>
        <xdr:to>
          <xdr:col>6</xdr:col>
          <xdr:colOff>990600</xdr:colOff>
          <xdr:row>82</xdr:row>
          <xdr:rowOff>295275</xdr:rowOff>
        </xdr:to>
        <xdr:sp macro="" textlink="">
          <xdr:nvSpPr>
            <xdr:cNvPr id="48143" name="Check Box 15" hidden="1">
              <a:extLst>
                <a:ext uri="{63B3BB69-23CF-44E3-9099-C40C66FF867C}">
                  <a14:compatExt spid="_x0000_s481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81</xdr:row>
          <xdr:rowOff>57150</xdr:rowOff>
        </xdr:from>
        <xdr:to>
          <xdr:col>8</xdr:col>
          <xdr:colOff>962025</xdr:colOff>
          <xdr:row>81</xdr:row>
          <xdr:rowOff>285750</xdr:rowOff>
        </xdr:to>
        <xdr:sp macro="" textlink="">
          <xdr:nvSpPr>
            <xdr:cNvPr id="48144" name="Check Box 16" hidden="1">
              <a:extLst>
                <a:ext uri="{63B3BB69-23CF-44E3-9099-C40C66FF867C}">
                  <a14:compatExt spid="_x0000_s481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82</xdr:row>
          <xdr:rowOff>38100</xdr:rowOff>
        </xdr:from>
        <xdr:to>
          <xdr:col>8</xdr:col>
          <xdr:colOff>476250</xdr:colOff>
          <xdr:row>82</xdr:row>
          <xdr:rowOff>295275</xdr:rowOff>
        </xdr:to>
        <xdr:sp macro="" textlink="">
          <xdr:nvSpPr>
            <xdr:cNvPr id="48145" name="Check Box 17" hidden="1">
              <a:extLst>
                <a:ext uri="{63B3BB69-23CF-44E3-9099-C40C66FF867C}">
                  <a14:compatExt spid="_x0000_s481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1933575</xdr:colOff>
          <xdr:row>28</xdr:row>
          <xdr:rowOff>333375</xdr:rowOff>
        </xdr:from>
        <xdr:to>
          <xdr:col>11</xdr:col>
          <xdr:colOff>1724025</xdr:colOff>
          <xdr:row>29</xdr:row>
          <xdr:rowOff>285750</xdr:rowOff>
        </xdr:to>
        <xdr:sp macro="" textlink="">
          <xdr:nvSpPr>
            <xdr:cNvPr id="48146" name="Check Box 18" hidden="1">
              <a:extLst>
                <a:ext uri="{63B3BB69-23CF-44E3-9099-C40C66FF867C}">
                  <a14:compatExt spid="_x0000_s481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495300</xdr:colOff>
          <xdr:row>29</xdr:row>
          <xdr:rowOff>9525</xdr:rowOff>
        </xdr:from>
        <xdr:to>
          <xdr:col>10</xdr:col>
          <xdr:colOff>828675</xdr:colOff>
          <xdr:row>29</xdr:row>
          <xdr:rowOff>314325</xdr:rowOff>
        </xdr:to>
        <xdr:sp macro="" textlink="">
          <xdr:nvSpPr>
            <xdr:cNvPr id="48147" name="Check Box 19" hidden="1">
              <a:extLst>
                <a:ext uri="{63B3BB69-23CF-44E3-9099-C40C66FF867C}">
                  <a14:compatExt spid="_x0000_s481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125</xdr:row>
      <xdr:rowOff>54429</xdr:rowOff>
    </xdr:from>
    <xdr:to>
      <xdr:col>11</xdr:col>
      <xdr:colOff>356940</xdr:colOff>
      <xdr:row>129</xdr:row>
      <xdr:rowOff>1</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49153" name="Check Box 1" hidden="1">
              <a:extLst>
                <a:ext uri="{63B3BB69-23CF-44E3-9099-C40C66FF867C}">
                  <a14:compatExt spid="_x0000_s491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49154" name="Check Box 2" hidden="1">
              <a:extLst>
                <a:ext uri="{63B3BB69-23CF-44E3-9099-C40C66FF867C}">
                  <a14:compatExt spid="_x0000_s491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49155" name="Check Box 3" hidden="1">
              <a:extLst>
                <a:ext uri="{63B3BB69-23CF-44E3-9099-C40C66FF867C}">
                  <a14:compatExt spid="_x0000_s491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49156" name="Check Box 4" hidden="1">
              <a:extLst>
                <a:ext uri="{63B3BB69-23CF-44E3-9099-C40C66FF867C}">
                  <a14:compatExt spid="_x0000_s491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49157" name="Check Box 5" hidden="1">
              <a:extLst>
                <a:ext uri="{63B3BB69-23CF-44E3-9099-C40C66FF867C}">
                  <a14:compatExt spid="_x0000_s491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49158" name="Check Box 6" hidden="1">
              <a:extLst>
                <a:ext uri="{63B3BB69-23CF-44E3-9099-C40C66FF867C}">
                  <a14:compatExt spid="_x0000_s491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49159" name="Check Box 7" hidden="1">
              <a:extLst>
                <a:ext uri="{63B3BB69-23CF-44E3-9099-C40C66FF867C}">
                  <a14:compatExt spid="_x0000_s491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49160" name="Check Box 8" hidden="1">
              <a:extLst>
                <a:ext uri="{63B3BB69-23CF-44E3-9099-C40C66FF867C}">
                  <a14:compatExt spid="_x0000_s491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49161" name="Check Box 9" hidden="1">
              <a:extLst>
                <a:ext uri="{63B3BB69-23CF-44E3-9099-C40C66FF867C}">
                  <a14:compatExt spid="_x0000_s491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55</xdr:row>
          <xdr:rowOff>28575</xdr:rowOff>
        </xdr:from>
        <xdr:to>
          <xdr:col>8</xdr:col>
          <xdr:colOff>190500</xdr:colOff>
          <xdr:row>55</xdr:row>
          <xdr:rowOff>285750</xdr:rowOff>
        </xdr:to>
        <xdr:sp macro="" textlink="">
          <xdr:nvSpPr>
            <xdr:cNvPr id="49162" name="Check Box 10" hidden="1">
              <a:extLst>
                <a:ext uri="{63B3BB69-23CF-44E3-9099-C40C66FF867C}">
                  <a14:compatExt spid="_x0000_s491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55</xdr:row>
          <xdr:rowOff>323850</xdr:rowOff>
        </xdr:from>
        <xdr:to>
          <xdr:col>8</xdr:col>
          <xdr:colOff>695325</xdr:colOff>
          <xdr:row>56</xdr:row>
          <xdr:rowOff>323850</xdr:rowOff>
        </xdr:to>
        <xdr:sp macro="" textlink="">
          <xdr:nvSpPr>
            <xdr:cNvPr id="49163" name="Check Box 11" hidden="1">
              <a:extLst>
                <a:ext uri="{63B3BB69-23CF-44E3-9099-C40C66FF867C}">
                  <a14:compatExt spid="_x0000_s491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56</xdr:row>
          <xdr:rowOff>333375</xdr:rowOff>
        </xdr:from>
        <xdr:to>
          <xdr:col>8</xdr:col>
          <xdr:colOff>9525</xdr:colOff>
          <xdr:row>58</xdr:row>
          <xdr:rowOff>0</xdr:rowOff>
        </xdr:to>
        <xdr:sp macro="" textlink="">
          <xdr:nvSpPr>
            <xdr:cNvPr id="49164" name="Check Box 12" hidden="1">
              <a:extLst>
                <a:ext uri="{63B3BB69-23CF-44E3-9099-C40C66FF867C}">
                  <a14:compatExt spid="_x0000_s491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61</xdr:row>
          <xdr:rowOff>57150</xdr:rowOff>
        </xdr:from>
        <xdr:to>
          <xdr:col>6</xdr:col>
          <xdr:colOff>1019175</xdr:colOff>
          <xdr:row>61</xdr:row>
          <xdr:rowOff>314325</xdr:rowOff>
        </xdr:to>
        <xdr:sp macro="" textlink="">
          <xdr:nvSpPr>
            <xdr:cNvPr id="49165" name="Check Box 13" hidden="1">
              <a:extLst>
                <a:ext uri="{63B3BB69-23CF-44E3-9099-C40C66FF867C}">
                  <a14:compatExt spid="_x0000_s491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60</xdr:row>
          <xdr:rowOff>28575</xdr:rowOff>
        </xdr:from>
        <xdr:to>
          <xdr:col>6</xdr:col>
          <xdr:colOff>419100</xdr:colOff>
          <xdr:row>60</xdr:row>
          <xdr:rowOff>276225</xdr:rowOff>
        </xdr:to>
        <xdr:sp macro="" textlink="">
          <xdr:nvSpPr>
            <xdr:cNvPr id="49166" name="Check Box 14" hidden="1">
              <a:extLst>
                <a:ext uri="{63B3BB69-23CF-44E3-9099-C40C66FF867C}">
                  <a14:compatExt spid="_x0000_s491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62</xdr:row>
          <xdr:rowOff>38100</xdr:rowOff>
        </xdr:from>
        <xdr:to>
          <xdr:col>6</xdr:col>
          <xdr:colOff>990600</xdr:colOff>
          <xdr:row>62</xdr:row>
          <xdr:rowOff>295275</xdr:rowOff>
        </xdr:to>
        <xdr:sp macro="" textlink="">
          <xdr:nvSpPr>
            <xdr:cNvPr id="49167" name="Check Box 15" hidden="1">
              <a:extLst>
                <a:ext uri="{63B3BB69-23CF-44E3-9099-C40C66FF867C}">
                  <a14:compatExt spid="_x0000_s4916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61</xdr:row>
          <xdr:rowOff>57150</xdr:rowOff>
        </xdr:from>
        <xdr:to>
          <xdr:col>8</xdr:col>
          <xdr:colOff>962025</xdr:colOff>
          <xdr:row>61</xdr:row>
          <xdr:rowOff>285750</xdr:rowOff>
        </xdr:to>
        <xdr:sp macro="" textlink="">
          <xdr:nvSpPr>
            <xdr:cNvPr id="49168" name="Check Box 16" hidden="1">
              <a:extLst>
                <a:ext uri="{63B3BB69-23CF-44E3-9099-C40C66FF867C}">
                  <a14:compatExt spid="_x0000_s4916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62</xdr:row>
          <xdr:rowOff>38100</xdr:rowOff>
        </xdr:from>
        <xdr:to>
          <xdr:col>8</xdr:col>
          <xdr:colOff>476250</xdr:colOff>
          <xdr:row>62</xdr:row>
          <xdr:rowOff>295275</xdr:rowOff>
        </xdr:to>
        <xdr:sp macro="" textlink="">
          <xdr:nvSpPr>
            <xdr:cNvPr id="49169" name="Check Box 17" hidden="1">
              <a:extLst>
                <a:ext uri="{63B3BB69-23CF-44E3-9099-C40C66FF867C}">
                  <a14:compatExt spid="_x0000_s491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49170" name="Check Box 18" hidden="1">
              <a:extLst>
                <a:ext uri="{63B3BB69-23CF-44E3-9099-C40C66FF867C}">
                  <a14:compatExt spid="_x0000_s491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1129393</xdr:colOff>
      <xdr:row>126</xdr:row>
      <xdr:rowOff>0</xdr:rowOff>
    </xdr:from>
    <xdr:to>
      <xdr:col>11</xdr:col>
      <xdr:colOff>424976</xdr:colOff>
      <xdr:row>129</xdr:row>
      <xdr:rowOff>285751</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92036" y="41243250"/>
          <a:ext cx="15773833" cy="1306287"/>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2225" name="Check Box 1" hidden="1">
              <a:extLst>
                <a:ext uri="{63B3BB69-23CF-44E3-9099-C40C66FF867C}">
                  <a14:compatExt spid="_x0000_s522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2226" name="Check Box 2" hidden="1">
              <a:extLst>
                <a:ext uri="{63B3BB69-23CF-44E3-9099-C40C66FF867C}">
                  <a14:compatExt spid="_x0000_s522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2227" name="Check Box 3" hidden="1">
              <a:extLst>
                <a:ext uri="{63B3BB69-23CF-44E3-9099-C40C66FF867C}">
                  <a14:compatExt spid="_x0000_s522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2228" name="Check Box 4" hidden="1">
              <a:extLst>
                <a:ext uri="{63B3BB69-23CF-44E3-9099-C40C66FF867C}">
                  <a14:compatExt spid="_x0000_s522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2229" name="Check Box 5" hidden="1">
              <a:extLst>
                <a:ext uri="{63B3BB69-23CF-44E3-9099-C40C66FF867C}">
                  <a14:compatExt spid="_x0000_s522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2230" name="Check Box 6" hidden="1">
              <a:extLst>
                <a:ext uri="{63B3BB69-23CF-44E3-9099-C40C66FF867C}">
                  <a14:compatExt spid="_x0000_s522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2231" name="Check Box 7" hidden="1">
              <a:extLst>
                <a:ext uri="{63B3BB69-23CF-44E3-9099-C40C66FF867C}">
                  <a14:compatExt spid="_x0000_s522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2232" name="Check Box 8" hidden="1">
              <a:extLst>
                <a:ext uri="{63B3BB69-23CF-44E3-9099-C40C66FF867C}">
                  <a14:compatExt spid="_x0000_s522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2233" name="Check Box 9" hidden="1">
              <a:extLst>
                <a:ext uri="{63B3BB69-23CF-44E3-9099-C40C66FF867C}">
                  <a14:compatExt spid="_x0000_s522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54</xdr:row>
          <xdr:rowOff>28575</xdr:rowOff>
        </xdr:from>
        <xdr:to>
          <xdr:col>8</xdr:col>
          <xdr:colOff>190500</xdr:colOff>
          <xdr:row>54</xdr:row>
          <xdr:rowOff>285750</xdr:rowOff>
        </xdr:to>
        <xdr:sp macro="" textlink="">
          <xdr:nvSpPr>
            <xdr:cNvPr id="52234" name="Check Box 10" hidden="1">
              <a:extLst>
                <a:ext uri="{63B3BB69-23CF-44E3-9099-C40C66FF867C}">
                  <a14:compatExt spid="_x0000_s522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54</xdr:row>
          <xdr:rowOff>323850</xdr:rowOff>
        </xdr:from>
        <xdr:to>
          <xdr:col>8</xdr:col>
          <xdr:colOff>695325</xdr:colOff>
          <xdr:row>55</xdr:row>
          <xdr:rowOff>323850</xdr:rowOff>
        </xdr:to>
        <xdr:sp macro="" textlink="">
          <xdr:nvSpPr>
            <xdr:cNvPr id="52235" name="Check Box 11" hidden="1">
              <a:extLst>
                <a:ext uri="{63B3BB69-23CF-44E3-9099-C40C66FF867C}">
                  <a14:compatExt spid="_x0000_s522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55</xdr:row>
          <xdr:rowOff>333375</xdr:rowOff>
        </xdr:from>
        <xdr:to>
          <xdr:col>8</xdr:col>
          <xdr:colOff>9525</xdr:colOff>
          <xdr:row>57</xdr:row>
          <xdr:rowOff>0</xdr:rowOff>
        </xdr:to>
        <xdr:sp macro="" textlink="">
          <xdr:nvSpPr>
            <xdr:cNvPr id="52236" name="Check Box 12" hidden="1">
              <a:extLst>
                <a:ext uri="{63B3BB69-23CF-44E3-9099-C40C66FF867C}">
                  <a14:compatExt spid="_x0000_s522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60</xdr:row>
          <xdr:rowOff>57150</xdr:rowOff>
        </xdr:from>
        <xdr:to>
          <xdr:col>6</xdr:col>
          <xdr:colOff>1019175</xdr:colOff>
          <xdr:row>60</xdr:row>
          <xdr:rowOff>314325</xdr:rowOff>
        </xdr:to>
        <xdr:sp macro="" textlink="">
          <xdr:nvSpPr>
            <xdr:cNvPr id="52237" name="Check Box 13" hidden="1">
              <a:extLst>
                <a:ext uri="{63B3BB69-23CF-44E3-9099-C40C66FF867C}">
                  <a14:compatExt spid="_x0000_s522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59</xdr:row>
          <xdr:rowOff>28575</xdr:rowOff>
        </xdr:from>
        <xdr:to>
          <xdr:col>6</xdr:col>
          <xdr:colOff>419100</xdr:colOff>
          <xdr:row>59</xdr:row>
          <xdr:rowOff>276225</xdr:rowOff>
        </xdr:to>
        <xdr:sp macro="" textlink="">
          <xdr:nvSpPr>
            <xdr:cNvPr id="52238" name="Check Box 14" hidden="1">
              <a:extLst>
                <a:ext uri="{63B3BB69-23CF-44E3-9099-C40C66FF867C}">
                  <a14:compatExt spid="_x0000_s522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61</xdr:row>
          <xdr:rowOff>38100</xdr:rowOff>
        </xdr:from>
        <xdr:to>
          <xdr:col>6</xdr:col>
          <xdr:colOff>990600</xdr:colOff>
          <xdr:row>61</xdr:row>
          <xdr:rowOff>295275</xdr:rowOff>
        </xdr:to>
        <xdr:sp macro="" textlink="">
          <xdr:nvSpPr>
            <xdr:cNvPr id="52239" name="Check Box 15" hidden="1">
              <a:extLst>
                <a:ext uri="{63B3BB69-23CF-44E3-9099-C40C66FF867C}">
                  <a14:compatExt spid="_x0000_s5223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60</xdr:row>
          <xdr:rowOff>57150</xdr:rowOff>
        </xdr:from>
        <xdr:to>
          <xdr:col>8</xdr:col>
          <xdr:colOff>962025</xdr:colOff>
          <xdr:row>60</xdr:row>
          <xdr:rowOff>285750</xdr:rowOff>
        </xdr:to>
        <xdr:sp macro="" textlink="">
          <xdr:nvSpPr>
            <xdr:cNvPr id="52240" name="Check Box 16" hidden="1">
              <a:extLst>
                <a:ext uri="{63B3BB69-23CF-44E3-9099-C40C66FF867C}">
                  <a14:compatExt spid="_x0000_s5224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61</xdr:row>
          <xdr:rowOff>38100</xdr:rowOff>
        </xdr:from>
        <xdr:to>
          <xdr:col>8</xdr:col>
          <xdr:colOff>476250</xdr:colOff>
          <xdr:row>61</xdr:row>
          <xdr:rowOff>295275</xdr:rowOff>
        </xdr:to>
        <xdr:sp macro="" textlink="">
          <xdr:nvSpPr>
            <xdr:cNvPr id="52241" name="Check Box 17" hidden="1">
              <a:extLst>
                <a:ext uri="{63B3BB69-23CF-44E3-9099-C40C66FF867C}">
                  <a14:compatExt spid="_x0000_s52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2242" name="Check Box 18" hidden="1">
              <a:extLst>
                <a:ext uri="{63B3BB69-23CF-44E3-9099-C40C66FF867C}">
                  <a14:compatExt spid="_x0000_s52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530679</xdr:colOff>
      <xdr:row>131</xdr:row>
      <xdr:rowOff>231322</xdr:rowOff>
    </xdr:from>
    <xdr:to>
      <xdr:col>10</xdr:col>
      <xdr:colOff>1976191</xdr:colOff>
      <xdr:row>135</xdr:row>
      <xdr:rowOff>176895</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993322" y="42876108"/>
          <a:ext cx="15773833" cy="1306287"/>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6321" name="Check Box 1" hidden="1">
              <a:extLst>
                <a:ext uri="{63B3BB69-23CF-44E3-9099-C40C66FF867C}">
                  <a14:compatExt spid="_x0000_s563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6322" name="Check Box 2" hidden="1">
              <a:extLst>
                <a:ext uri="{63B3BB69-23CF-44E3-9099-C40C66FF867C}">
                  <a14:compatExt spid="_x0000_s563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6323" name="Check Box 3" hidden="1">
              <a:extLst>
                <a:ext uri="{63B3BB69-23CF-44E3-9099-C40C66FF867C}">
                  <a14:compatExt spid="_x0000_s563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6324" name="Check Box 4" hidden="1">
              <a:extLst>
                <a:ext uri="{63B3BB69-23CF-44E3-9099-C40C66FF867C}">
                  <a14:compatExt spid="_x0000_s563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6325" name="Check Box 5" hidden="1">
              <a:extLst>
                <a:ext uri="{63B3BB69-23CF-44E3-9099-C40C66FF867C}">
                  <a14:compatExt spid="_x0000_s563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6326" name="Check Box 6" hidden="1">
              <a:extLst>
                <a:ext uri="{63B3BB69-23CF-44E3-9099-C40C66FF867C}">
                  <a14:compatExt spid="_x0000_s563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6327" name="Check Box 7" hidden="1">
              <a:extLst>
                <a:ext uri="{63B3BB69-23CF-44E3-9099-C40C66FF867C}">
                  <a14:compatExt spid="_x0000_s563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6328" name="Check Box 8" hidden="1">
              <a:extLst>
                <a:ext uri="{63B3BB69-23CF-44E3-9099-C40C66FF867C}">
                  <a14:compatExt spid="_x0000_s563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6329" name="Check Box 9" hidden="1">
              <a:extLst>
                <a:ext uri="{63B3BB69-23CF-44E3-9099-C40C66FF867C}">
                  <a14:compatExt spid="_x0000_s5632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70</xdr:row>
          <xdr:rowOff>28575</xdr:rowOff>
        </xdr:from>
        <xdr:to>
          <xdr:col>8</xdr:col>
          <xdr:colOff>190500</xdr:colOff>
          <xdr:row>70</xdr:row>
          <xdr:rowOff>285750</xdr:rowOff>
        </xdr:to>
        <xdr:sp macro="" textlink="">
          <xdr:nvSpPr>
            <xdr:cNvPr id="56330" name="Check Box 10" hidden="1">
              <a:extLst>
                <a:ext uri="{63B3BB69-23CF-44E3-9099-C40C66FF867C}">
                  <a14:compatExt spid="_x0000_s5633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70</xdr:row>
          <xdr:rowOff>323850</xdr:rowOff>
        </xdr:from>
        <xdr:to>
          <xdr:col>8</xdr:col>
          <xdr:colOff>695325</xdr:colOff>
          <xdr:row>71</xdr:row>
          <xdr:rowOff>323850</xdr:rowOff>
        </xdr:to>
        <xdr:sp macro="" textlink="">
          <xdr:nvSpPr>
            <xdr:cNvPr id="56331" name="Check Box 11" hidden="1">
              <a:extLst>
                <a:ext uri="{63B3BB69-23CF-44E3-9099-C40C66FF867C}">
                  <a14:compatExt spid="_x0000_s5633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71</xdr:row>
          <xdr:rowOff>333375</xdr:rowOff>
        </xdr:from>
        <xdr:to>
          <xdr:col>8</xdr:col>
          <xdr:colOff>9525</xdr:colOff>
          <xdr:row>73</xdr:row>
          <xdr:rowOff>0</xdr:rowOff>
        </xdr:to>
        <xdr:sp macro="" textlink="">
          <xdr:nvSpPr>
            <xdr:cNvPr id="56332" name="Check Box 12" hidden="1">
              <a:extLst>
                <a:ext uri="{63B3BB69-23CF-44E3-9099-C40C66FF867C}">
                  <a14:compatExt spid="_x0000_s5633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76</xdr:row>
          <xdr:rowOff>57150</xdr:rowOff>
        </xdr:from>
        <xdr:to>
          <xdr:col>6</xdr:col>
          <xdr:colOff>1019175</xdr:colOff>
          <xdr:row>76</xdr:row>
          <xdr:rowOff>314325</xdr:rowOff>
        </xdr:to>
        <xdr:sp macro="" textlink="">
          <xdr:nvSpPr>
            <xdr:cNvPr id="56333" name="Check Box 13" hidden="1">
              <a:extLst>
                <a:ext uri="{63B3BB69-23CF-44E3-9099-C40C66FF867C}">
                  <a14:compatExt spid="_x0000_s5633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75</xdr:row>
          <xdr:rowOff>28575</xdr:rowOff>
        </xdr:from>
        <xdr:to>
          <xdr:col>6</xdr:col>
          <xdr:colOff>419100</xdr:colOff>
          <xdr:row>75</xdr:row>
          <xdr:rowOff>276225</xdr:rowOff>
        </xdr:to>
        <xdr:sp macro="" textlink="">
          <xdr:nvSpPr>
            <xdr:cNvPr id="56334" name="Check Box 14" hidden="1">
              <a:extLst>
                <a:ext uri="{63B3BB69-23CF-44E3-9099-C40C66FF867C}">
                  <a14:compatExt spid="_x0000_s563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77</xdr:row>
          <xdr:rowOff>38100</xdr:rowOff>
        </xdr:from>
        <xdr:to>
          <xdr:col>6</xdr:col>
          <xdr:colOff>990600</xdr:colOff>
          <xdr:row>77</xdr:row>
          <xdr:rowOff>295275</xdr:rowOff>
        </xdr:to>
        <xdr:sp macro="" textlink="">
          <xdr:nvSpPr>
            <xdr:cNvPr id="56335" name="Check Box 15" hidden="1">
              <a:extLst>
                <a:ext uri="{63B3BB69-23CF-44E3-9099-C40C66FF867C}">
                  <a14:compatExt spid="_x0000_s5633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76</xdr:row>
          <xdr:rowOff>57150</xdr:rowOff>
        </xdr:from>
        <xdr:to>
          <xdr:col>8</xdr:col>
          <xdr:colOff>962025</xdr:colOff>
          <xdr:row>76</xdr:row>
          <xdr:rowOff>285750</xdr:rowOff>
        </xdr:to>
        <xdr:sp macro="" textlink="">
          <xdr:nvSpPr>
            <xdr:cNvPr id="56336" name="Check Box 16" hidden="1">
              <a:extLst>
                <a:ext uri="{63B3BB69-23CF-44E3-9099-C40C66FF867C}">
                  <a14:compatExt spid="_x0000_s5633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77</xdr:row>
          <xdr:rowOff>38100</xdr:rowOff>
        </xdr:from>
        <xdr:to>
          <xdr:col>8</xdr:col>
          <xdr:colOff>476250</xdr:colOff>
          <xdr:row>77</xdr:row>
          <xdr:rowOff>295275</xdr:rowOff>
        </xdr:to>
        <xdr:sp macro="" textlink="">
          <xdr:nvSpPr>
            <xdr:cNvPr id="56337" name="Check Box 17" hidden="1">
              <a:extLst>
                <a:ext uri="{63B3BB69-23CF-44E3-9099-C40C66FF867C}">
                  <a14:compatExt spid="_x0000_s5633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6338" name="Check Box 18" hidden="1">
              <a:extLst>
                <a:ext uri="{63B3BB69-23CF-44E3-9099-C40C66FF867C}">
                  <a14:compatExt spid="_x0000_s5633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176</xdr:row>
      <xdr:rowOff>54429</xdr:rowOff>
    </xdr:from>
    <xdr:to>
      <xdr:col>11</xdr:col>
      <xdr:colOff>356940</xdr:colOff>
      <xdr:row>180</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9393" name="Check Box 1" hidden="1">
              <a:extLst>
                <a:ext uri="{63B3BB69-23CF-44E3-9099-C40C66FF867C}">
                  <a14:compatExt spid="_x0000_s593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9394" name="Check Box 2" hidden="1">
              <a:extLst>
                <a:ext uri="{63B3BB69-23CF-44E3-9099-C40C66FF867C}">
                  <a14:compatExt spid="_x0000_s593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9395" name="Check Box 3" hidden="1">
              <a:extLst>
                <a:ext uri="{63B3BB69-23CF-44E3-9099-C40C66FF867C}">
                  <a14:compatExt spid="_x0000_s5939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9396" name="Check Box 4" hidden="1">
              <a:extLst>
                <a:ext uri="{63B3BB69-23CF-44E3-9099-C40C66FF867C}">
                  <a14:compatExt spid="_x0000_s5939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9397" name="Check Box 5" hidden="1">
              <a:extLst>
                <a:ext uri="{63B3BB69-23CF-44E3-9099-C40C66FF867C}">
                  <a14:compatExt spid="_x0000_s593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9398" name="Check Box 6" hidden="1">
              <a:extLst>
                <a:ext uri="{63B3BB69-23CF-44E3-9099-C40C66FF867C}">
                  <a14:compatExt spid="_x0000_s593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9399" name="Check Box 7" hidden="1">
              <a:extLst>
                <a:ext uri="{63B3BB69-23CF-44E3-9099-C40C66FF867C}">
                  <a14:compatExt spid="_x0000_s593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9400" name="Check Box 8" hidden="1">
              <a:extLst>
                <a:ext uri="{63B3BB69-23CF-44E3-9099-C40C66FF867C}">
                  <a14:compatExt spid="_x0000_s59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9401" name="Check Box 9" hidden="1">
              <a:extLst>
                <a:ext uri="{63B3BB69-23CF-44E3-9099-C40C66FF867C}">
                  <a14:compatExt spid="_x0000_s594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105</xdr:row>
          <xdr:rowOff>28575</xdr:rowOff>
        </xdr:from>
        <xdr:to>
          <xdr:col>8</xdr:col>
          <xdr:colOff>190500</xdr:colOff>
          <xdr:row>105</xdr:row>
          <xdr:rowOff>285750</xdr:rowOff>
        </xdr:to>
        <xdr:sp macro="" textlink="">
          <xdr:nvSpPr>
            <xdr:cNvPr id="59402" name="Check Box 10" hidden="1">
              <a:extLst>
                <a:ext uri="{63B3BB69-23CF-44E3-9099-C40C66FF867C}">
                  <a14:compatExt spid="_x0000_s594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105</xdr:row>
          <xdr:rowOff>323850</xdr:rowOff>
        </xdr:from>
        <xdr:to>
          <xdr:col>8</xdr:col>
          <xdr:colOff>695325</xdr:colOff>
          <xdr:row>106</xdr:row>
          <xdr:rowOff>323850</xdr:rowOff>
        </xdr:to>
        <xdr:sp macro="" textlink="">
          <xdr:nvSpPr>
            <xdr:cNvPr id="59403" name="Check Box 11" hidden="1">
              <a:extLst>
                <a:ext uri="{63B3BB69-23CF-44E3-9099-C40C66FF867C}">
                  <a14:compatExt spid="_x0000_s594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106</xdr:row>
          <xdr:rowOff>333375</xdr:rowOff>
        </xdr:from>
        <xdr:to>
          <xdr:col>8</xdr:col>
          <xdr:colOff>9525</xdr:colOff>
          <xdr:row>108</xdr:row>
          <xdr:rowOff>0</xdr:rowOff>
        </xdr:to>
        <xdr:sp macro="" textlink="">
          <xdr:nvSpPr>
            <xdr:cNvPr id="59404" name="Check Box 12" hidden="1">
              <a:extLst>
                <a:ext uri="{63B3BB69-23CF-44E3-9099-C40C66FF867C}">
                  <a14:compatExt spid="_x0000_s594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111</xdr:row>
          <xdr:rowOff>57150</xdr:rowOff>
        </xdr:from>
        <xdr:to>
          <xdr:col>6</xdr:col>
          <xdr:colOff>1019175</xdr:colOff>
          <xdr:row>111</xdr:row>
          <xdr:rowOff>314325</xdr:rowOff>
        </xdr:to>
        <xdr:sp macro="" textlink="">
          <xdr:nvSpPr>
            <xdr:cNvPr id="59405" name="Check Box 13" hidden="1">
              <a:extLst>
                <a:ext uri="{63B3BB69-23CF-44E3-9099-C40C66FF867C}">
                  <a14:compatExt spid="_x0000_s594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110</xdr:row>
          <xdr:rowOff>28575</xdr:rowOff>
        </xdr:from>
        <xdr:to>
          <xdr:col>6</xdr:col>
          <xdr:colOff>419100</xdr:colOff>
          <xdr:row>110</xdr:row>
          <xdr:rowOff>276225</xdr:rowOff>
        </xdr:to>
        <xdr:sp macro="" textlink="">
          <xdr:nvSpPr>
            <xdr:cNvPr id="59406" name="Check Box 14" hidden="1">
              <a:extLst>
                <a:ext uri="{63B3BB69-23CF-44E3-9099-C40C66FF867C}">
                  <a14:compatExt spid="_x0000_s594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112</xdr:row>
          <xdr:rowOff>38100</xdr:rowOff>
        </xdr:from>
        <xdr:to>
          <xdr:col>6</xdr:col>
          <xdr:colOff>990600</xdr:colOff>
          <xdr:row>112</xdr:row>
          <xdr:rowOff>295275</xdr:rowOff>
        </xdr:to>
        <xdr:sp macro="" textlink="">
          <xdr:nvSpPr>
            <xdr:cNvPr id="59407" name="Check Box 15" hidden="1">
              <a:extLst>
                <a:ext uri="{63B3BB69-23CF-44E3-9099-C40C66FF867C}">
                  <a14:compatExt spid="_x0000_s594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111</xdr:row>
          <xdr:rowOff>57150</xdr:rowOff>
        </xdr:from>
        <xdr:to>
          <xdr:col>8</xdr:col>
          <xdr:colOff>962025</xdr:colOff>
          <xdr:row>111</xdr:row>
          <xdr:rowOff>285750</xdr:rowOff>
        </xdr:to>
        <xdr:sp macro="" textlink="">
          <xdr:nvSpPr>
            <xdr:cNvPr id="59408" name="Check Box 16" hidden="1">
              <a:extLst>
                <a:ext uri="{63B3BB69-23CF-44E3-9099-C40C66FF867C}">
                  <a14:compatExt spid="_x0000_s594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112</xdr:row>
          <xdr:rowOff>38100</xdr:rowOff>
        </xdr:from>
        <xdr:to>
          <xdr:col>8</xdr:col>
          <xdr:colOff>476250</xdr:colOff>
          <xdr:row>112</xdr:row>
          <xdr:rowOff>295275</xdr:rowOff>
        </xdr:to>
        <xdr:sp macro="" textlink="">
          <xdr:nvSpPr>
            <xdr:cNvPr id="59409" name="Check Box 17" hidden="1">
              <a:extLst>
                <a:ext uri="{63B3BB69-23CF-44E3-9099-C40C66FF867C}">
                  <a14:compatExt spid="_x0000_s594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1933575</xdr:colOff>
          <xdr:row>28</xdr:row>
          <xdr:rowOff>323850</xdr:rowOff>
        </xdr:from>
        <xdr:to>
          <xdr:col>11</xdr:col>
          <xdr:colOff>1562100</xdr:colOff>
          <xdr:row>29</xdr:row>
          <xdr:rowOff>266700</xdr:rowOff>
        </xdr:to>
        <xdr:sp macro="" textlink="">
          <xdr:nvSpPr>
            <xdr:cNvPr id="59410" name="Check Box 18" hidden="1">
              <a:extLst>
                <a:ext uri="{63B3BB69-23CF-44E3-9099-C40C66FF867C}">
                  <a14:compatExt spid="_x0000_s594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911679</xdr:colOff>
      <xdr:row>90</xdr:row>
      <xdr:rowOff>149680</xdr:rowOff>
    </xdr:from>
    <xdr:to>
      <xdr:col>11</xdr:col>
      <xdr:colOff>207262</xdr:colOff>
      <xdr:row>94</xdr:row>
      <xdr:rowOff>95252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374322" y="29146501"/>
          <a:ext cx="15773833" cy="1306287"/>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60417" name="Check Box 1" hidden="1">
              <a:extLst>
                <a:ext uri="{63B3BB69-23CF-44E3-9099-C40C66FF867C}">
                  <a14:compatExt spid="_x0000_s604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60418" name="Check Box 2" hidden="1">
              <a:extLst>
                <a:ext uri="{63B3BB69-23CF-44E3-9099-C40C66FF867C}">
                  <a14:compatExt spid="_x0000_s604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60419" name="Check Box 3" hidden="1">
              <a:extLst>
                <a:ext uri="{63B3BB69-23CF-44E3-9099-C40C66FF867C}">
                  <a14:compatExt spid="_x0000_s604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60420" name="Check Box 4" hidden="1">
              <a:extLst>
                <a:ext uri="{63B3BB69-23CF-44E3-9099-C40C66FF867C}">
                  <a14:compatExt spid="_x0000_s604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60421" name="Check Box 5" hidden="1">
              <a:extLst>
                <a:ext uri="{63B3BB69-23CF-44E3-9099-C40C66FF867C}">
                  <a14:compatExt spid="_x0000_s604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60422" name="Check Box 6" hidden="1">
              <a:extLst>
                <a:ext uri="{63B3BB69-23CF-44E3-9099-C40C66FF867C}">
                  <a14:compatExt spid="_x0000_s604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60423" name="Check Box 7" hidden="1">
              <a:extLst>
                <a:ext uri="{63B3BB69-23CF-44E3-9099-C40C66FF867C}">
                  <a14:compatExt spid="_x0000_s6042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60424" name="Check Box 8" hidden="1">
              <a:extLst>
                <a:ext uri="{63B3BB69-23CF-44E3-9099-C40C66FF867C}">
                  <a14:compatExt spid="_x0000_s6042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60425" name="Check Box 9" hidden="1">
              <a:extLst>
                <a:ext uri="{63B3BB69-23CF-44E3-9099-C40C66FF867C}">
                  <a14:compatExt spid="_x0000_s604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48</xdr:row>
          <xdr:rowOff>28575</xdr:rowOff>
        </xdr:from>
        <xdr:to>
          <xdr:col>8</xdr:col>
          <xdr:colOff>190500</xdr:colOff>
          <xdr:row>48</xdr:row>
          <xdr:rowOff>285750</xdr:rowOff>
        </xdr:to>
        <xdr:sp macro="" textlink="">
          <xdr:nvSpPr>
            <xdr:cNvPr id="60426" name="Check Box 10" hidden="1">
              <a:extLst>
                <a:ext uri="{63B3BB69-23CF-44E3-9099-C40C66FF867C}">
                  <a14:compatExt spid="_x0000_s604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48</xdr:row>
          <xdr:rowOff>323850</xdr:rowOff>
        </xdr:from>
        <xdr:to>
          <xdr:col>8</xdr:col>
          <xdr:colOff>695325</xdr:colOff>
          <xdr:row>49</xdr:row>
          <xdr:rowOff>323851</xdr:rowOff>
        </xdr:to>
        <xdr:sp macro="" textlink="">
          <xdr:nvSpPr>
            <xdr:cNvPr id="60427" name="Check Box 11" hidden="1">
              <a:extLst>
                <a:ext uri="{63B3BB69-23CF-44E3-9099-C40C66FF867C}">
                  <a14:compatExt spid="_x0000_s604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49</xdr:row>
          <xdr:rowOff>333375</xdr:rowOff>
        </xdr:from>
        <xdr:to>
          <xdr:col>8</xdr:col>
          <xdr:colOff>9525</xdr:colOff>
          <xdr:row>51</xdr:row>
          <xdr:rowOff>-1</xdr:rowOff>
        </xdr:to>
        <xdr:sp macro="" textlink="">
          <xdr:nvSpPr>
            <xdr:cNvPr id="60428" name="Check Box 12" hidden="1">
              <a:extLst>
                <a:ext uri="{63B3BB69-23CF-44E3-9099-C40C66FF867C}">
                  <a14:compatExt spid="_x0000_s6042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60434" name="Check Box 18" hidden="1">
              <a:extLst>
                <a:ext uri="{63B3BB69-23CF-44E3-9099-C40C66FF867C}">
                  <a14:compatExt spid="_x0000_s6043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8369" name="Check Box 1" hidden="1">
              <a:extLst>
                <a:ext uri="{63B3BB69-23CF-44E3-9099-C40C66FF867C}">
                  <a14:compatExt spid="_x0000_s5836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8370" name="Check Box 2" hidden="1">
              <a:extLst>
                <a:ext uri="{63B3BB69-23CF-44E3-9099-C40C66FF867C}">
                  <a14:compatExt spid="_x0000_s5837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8371" name="Check Box 3" hidden="1">
              <a:extLst>
                <a:ext uri="{63B3BB69-23CF-44E3-9099-C40C66FF867C}">
                  <a14:compatExt spid="_x0000_s5837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8372" name="Check Box 4" hidden="1">
              <a:extLst>
                <a:ext uri="{63B3BB69-23CF-44E3-9099-C40C66FF867C}">
                  <a14:compatExt spid="_x0000_s5837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8373" name="Check Box 5" hidden="1">
              <a:extLst>
                <a:ext uri="{63B3BB69-23CF-44E3-9099-C40C66FF867C}">
                  <a14:compatExt spid="_x0000_s583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8374" name="Check Box 6" hidden="1">
              <a:extLst>
                <a:ext uri="{63B3BB69-23CF-44E3-9099-C40C66FF867C}">
                  <a14:compatExt spid="_x0000_s583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8375" name="Check Box 7" hidden="1">
              <a:extLst>
                <a:ext uri="{63B3BB69-23CF-44E3-9099-C40C66FF867C}">
                  <a14:compatExt spid="_x0000_s583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8376" name="Check Box 8" hidden="1">
              <a:extLst>
                <a:ext uri="{63B3BB69-23CF-44E3-9099-C40C66FF867C}">
                  <a14:compatExt spid="_x0000_s583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8377" name="Check Box 9" hidden="1">
              <a:extLst>
                <a:ext uri="{63B3BB69-23CF-44E3-9099-C40C66FF867C}">
                  <a14:compatExt spid="_x0000_s583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8378" name="Check Box 10" hidden="1">
              <a:extLst>
                <a:ext uri="{63B3BB69-23CF-44E3-9099-C40C66FF867C}">
                  <a14:compatExt spid="_x0000_s583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8379" name="Check Box 11" hidden="1">
              <a:extLst>
                <a:ext uri="{63B3BB69-23CF-44E3-9099-C40C66FF867C}">
                  <a14:compatExt spid="_x0000_s583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8380" name="Check Box 12" hidden="1">
              <a:extLst>
                <a:ext uri="{63B3BB69-23CF-44E3-9099-C40C66FF867C}">
                  <a14:compatExt spid="_x0000_s583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8381" name="Check Box 13" hidden="1">
              <a:extLst>
                <a:ext uri="{63B3BB69-23CF-44E3-9099-C40C66FF867C}">
                  <a14:compatExt spid="_x0000_s583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8382" name="Check Box 14" hidden="1">
              <a:extLst>
                <a:ext uri="{63B3BB69-23CF-44E3-9099-C40C66FF867C}">
                  <a14:compatExt spid="_x0000_s583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8383" name="Check Box 15" hidden="1">
              <a:extLst>
                <a:ext uri="{63B3BB69-23CF-44E3-9099-C40C66FF867C}">
                  <a14:compatExt spid="_x0000_s583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8384" name="Check Box 16" hidden="1">
              <a:extLst>
                <a:ext uri="{63B3BB69-23CF-44E3-9099-C40C66FF867C}">
                  <a14:compatExt spid="_x0000_s583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8385" name="Check Box 17" hidden="1">
              <a:extLst>
                <a:ext uri="{63B3BB69-23CF-44E3-9099-C40C66FF867C}">
                  <a14:compatExt spid="_x0000_s583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8386" name="Check Box 18" hidden="1">
              <a:extLst>
                <a:ext uri="{63B3BB69-23CF-44E3-9099-C40C66FF867C}">
                  <a14:compatExt spid="_x0000_s583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7345" name="Check Box 1" hidden="1">
              <a:extLst>
                <a:ext uri="{63B3BB69-23CF-44E3-9099-C40C66FF867C}">
                  <a14:compatExt spid="_x0000_s573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7346" name="Check Box 2" hidden="1">
              <a:extLst>
                <a:ext uri="{63B3BB69-23CF-44E3-9099-C40C66FF867C}">
                  <a14:compatExt spid="_x0000_s573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7347" name="Check Box 3" hidden="1">
              <a:extLst>
                <a:ext uri="{63B3BB69-23CF-44E3-9099-C40C66FF867C}">
                  <a14:compatExt spid="_x0000_s573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7348" name="Check Box 4" hidden="1">
              <a:extLst>
                <a:ext uri="{63B3BB69-23CF-44E3-9099-C40C66FF867C}">
                  <a14:compatExt spid="_x0000_s573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7349" name="Check Box 5" hidden="1">
              <a:extLst>
                <a:ext uri="{63B3BB69-23CF-44E3-9099-C40C66FF867C}">
                  <a14:compatExt spid="_x0000_s573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7350" name="Check Box 6" hidden="1">
              <a:extLst>
                <a:ext uri="{63B3BB69-23CF-44E3-9099-C40C66FF867C}">
                  <a14:compatExt spid="_x0000_s573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7351" name="Check Box 7" hidden="1">
              <a:extLst>
                <a:ext uri="{63B3BB69-23CF-44E3-9099-C40C66FF867C}">
                  <a14:compatExt spid="_x0000_s573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7352" name="Check Box 8" hidden="1">
              <a:extLst>
                <a:ext uri="{63B3BB69-23CF-44E3-9099-C40C66FF867C}">
                  <a14:compatExt spid="_x0000_s573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7353" name="Check Box 9" hidden="1">
              <a:extLst>
                <a:ext uri="{63B3BB69-23CF-44E3-9099-C40C66FF867C}">
                  <a14:compatExt spid="_x0000_s573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7354" name="Check Box 10" hidden="1">
              <a:extLst>
                <a:ext uri="{63B3BB69-23CF-44E3-9099-C40C66FF867C}">
                  <a14:compatExt spid="_x0000_s573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7355" name="Check Box 11" hidden="1">
              <a:extLst>
                <a:ext uri="{63B3BB69-23CF-44E3-9099-C40C66FF867C}">
                  <a14:compatExt spid="_x0000_s573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7356" name="Check Box 12" hidden="1">
              <a:extLst>
                <a:ext uri="{63B3BB69-23CF-44E3-9099-C40C66FF867C}">
                  <a14:compatExt spid="_x0000_s573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7357" name="Check Box 13" hidden="1">
              <a:extLst>
                <a:ext uri="{63B3BB69-23CF-44E3-9099-C40C66FF867C}">
                  <a14:compatExt spid="_x0000_s573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7358" name="Check Box 14" hidden="1">
              <a:extLst>
                <a:ext uri="{63B3BB69-23CF-44E3-9099-C40C66FF867C}">
                  <a14:compatExt spid="_x0000_s573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7359" name="Check Box 15" hidden="1">
              <a:extLst>
                <a:ext uri="{63B3BB69-23CF-44E3-9099-C40C66FF867C}">
                  <a14:compatExt spid="_x0000_s573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7360" name="Check Box 16" hidden="1">
              <a:extLst>
                <a:ext uri="{63B3BB69-23CF-44E3-9099-C40C66FF867C}">
                  <a14:compatExt spid="_x0000_s573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7361" name="Check Box 17" hidden="1">
              <a:extLst>
                <a:ext uri="{63B3BB69-23CF-44E3-9099-C40C66FF867C}">
                  <a14:compatExt spid="_x0000_s573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7362" name="Check Box 18" hidden="1">
              <a:extLst>
                <a:ext uri="{63B3BB69-23CF-44E3-9099-C40C66FF867C}">
                  <a14:compatExt spid="_x0000_s573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5297" name="Check Box 1" hidden="1">
              <a:extLst>
                <a:ext uri="{63B3BB69-23CF-44E3-9099-C40C66FF867C}">
                  <a14:compatExt spid="_x0000_s5529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5298" name="Check Box 2" hidden="1">
              <a:extLst>
                <a:ext uri="{63B3BB69-23CF-44E3-9099-C40C66FF867C}">
                  <a14:compatExt spid="_x0000_s5529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5299" name="Check Box 3" hidden="1">
              <a:extLst>
                <a:ext uri="{63B3BB69-23CF-44E3-9099-C40C66FF867C}">
                  <a14:compatExt spid="_x0000_s5529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5300" name="Check Box 4" hidden="1">
              <a:extLst>
                <a:ext uri="{63B3BB69-23CF-44E3-9099-C40C66FF867C}">
                  <a14:compatExt spid="_x0000_s55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5301" name="Check Box 5" hidden="1">
              <a:extLst>
                <a:ext uri="{63B3BB69-23CF-44E3-9099-C40C66FF867C}">
                  <a14:compatExt spid="_x0000_s553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5302" name="Check Box 6" hidden="1">
              <a:extLst>
                <a:ext uri="{63B3BB69-23CF-44E3-9099-C40C66FF867C}">
                  <a14:compatExt spid="_x0000_s553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5303" name="Check Box 7" hidden="1">
              <a:extLst>
                <a:ext uri="{63B3BB69-23CF-44E3-9099-C40C66FF867C}">
                  <a14:compatExt spid="_x0000_s553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5304" name="Check Box 8" hidden="1">
              <a:extLst>
                <a:ext uri="{63B3BB69-23CF-44E3-9099-C40C66FF867C}">
                  <a14:compatExt spid="_x0000_s553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5305" name="Check Box 9" hidden="1">
              <a:extLst>
                <a:ext uri="{63B3BB69-23CF-44E3-9099-C40C66FF867C}">
                  <a14:compatExt spid="_x0000_s553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5306" name="Check Box 10" hidden="1">
              <a:extLst>
                <a:ext uri="{63B3BB69-23CF-44E3-9099-C40C66FF867C}">
                  <a14:compatExt spid="_x0000_s553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5307" name="Check Box 11" hidden="1">
              <a:extLst>
                <a:ext uri="{63B3BB69-23CF-44E3-9099-C40C66FF867C}">
                  <a14:compatExt spid="_x0000_s553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5308" name="Check Box 12" hidden="1">
              <a:extLst>
                <a:ext uri="{63B3BB69-23CF-44E3-9099-C40C66FF867C}">
                  <a14:compatExt spid="_x0000_s553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5309" name="Check Box 13" hidden="1">
              <a:extLst>
                <a:ext uri="{63B3BB69-23CF-44E3-9099-C40C66FF867C}">
                  <a14:compatExt spid="_x0000_s553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5310" name="Check Box 14" hidden="1">
              <a:extLst>
                <a:ext uri="{63B3BB69-23CF-44E3-9099-C40C66FF867C}">
                  <a14:compatExt spid="_x0000_s553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5311" name="Check Box 15" hidden="1">
              <a:extLst>
                <a:ext uri="{63B3BB69-23CF-44E3-9099-C40C66FF867C}">
                  <a14:compatExt spid="_x0000_s553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5312" name="Check Box 16" hidden="1">
              <a:extLst>
                <a:ext uri="{63B3BB69-23CF-44E3-9099-C40C66FF867C}">
                  <a14:compatExt spid="_x0000_s553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5313" name="Check Box 17" hidden="1">
              <a:extLst>
                <a:ext uri="{63B3BB69-23CF-44E3-9099-C40C66FF867C}">
                  <a14:compatExt spid="_x0000_s553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5314" name="Check Box 18" hidden="1">
              <a:extLst>
                <a:ext uri="{63B3BB69-23CF-44E3-9099-C40C66FF867C}">
                  <a14:compatExt spid="_x0000_s553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1201" name="Check Box 1" hidden="1">
              <a:extLst>
                <a:ext uri="{63B3BB69-23CF-44E3-9099-C40C66FF867C}">
                  <a14:compatExt spid="_x0000_s5120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1202" name="Check Box 2" hidden="1">
              <a:extLst>
                <a:ext uri="{63B3BB69-23CF-44E3-9099-C40C66FF867C}">
                  <a14:compatExt spid="_x0000_s5120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1203" name="Check Box 3" hidden="1">
              <a:extLst>
                <a:ext uri="{63B3BB69-23CF-44E3-9099-C40C66FF867C}">
                  <a14:compatExt spid="_x0000_s5120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1204" name="Check Box 4" hidden="1">
              <a:extLst>
                <a:ext uri="{63B3BB69-23CF-44E3-9099-C40C66FF867C}">
                  <a14:compatExt spid="_x0000_s5120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1205" name="Check Box 5" hidden="1">
              <a:extLst>
                <a:ext uri="{63B3BB69-23CF-44E3-9099-C40C66FF867C}">
                  <a14:compatExt spid="_x0000_s512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1206" name="Check Box 6" hidden="1">
              <a:extLst>
                <a:ext uri="{63B3BB69-23CF-44E3-9099-C40C66FF867C}">
                  <a14:compatExt spid="_x0000_s512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1207" name="Check Box 7" hidden="1">
              <a:extLst>
                <a:ext uri="{63B3BB69-23CF-44E3-9099-C40C66FF867C}">
                  <a14:compatExt spid="_x0000_s512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1208" name="Check Box 8" hidden="1">
              <a:extLst>
                <a:ext uri="{63B3BB69-23CF-44E3-9099-C40C66FF867C}">
                  <a14:compatExt spid="_x0000_s512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1209" name="Check Box 9" hidden="1">
              <a:extLst>
                <a:ext uri="{63B3BB69-23CF-44E3-9099-C40C66FF867C}">
                  <a14:compatExt spid="_x0000_s512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1210" name="Check Box 10" hidden="1">
              <a:extLst>
                <a:ext uri="{63B3BB69-23CF-44E3-9099-C40C66FF867C}">
                  <a14:compatExt spid="_x0000_s512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1211" name="Check Box 11" hidden="1">
              <a:extLst>
                <a:ext uri="{63B3BB69-23CF-44E3-9099-C40C66FF867C}">
                  <a14:compatExt spid="_x0000_s512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1212" name="Check Box 12" hidden="1">
              <a:extLst>
                <a:ext uri="{63B3BB69-23CF-44E3-9099-C40C66FF867C}">
                  <a14:compatExt spid="_x0000_s512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1213" name="Check Box 13" hidden="1">
              <a:extLst>
                <a:ext uri="{63B3BB69-23CF-44E3-9099-C40C66FF867C}">
                  <a14:compatExt spid="_x0000_s512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1214" name="Check Box 14" hidden="1">
              <a:extLst>
                <a:ext uri="{63B3BB69-23CF-44E3-9099-C40C66FF867C}">
                  <a14:compatExt spid="_x0000_s512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1215" name="Check Box 15" hidden="1">
              <a:extLst>
                <a:ext uri="{63B3BB69-23CF-44E3-9099-C40C66FF867C}">
                  <a14:compatExt spid="_x0000_s512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1216" name="Check Box 16" hidden="1">
              <a:extLst>
                <a:ext uri="{63B3BB69-23CF-44E3-9099-C40C66FF867C}">
                  <a14:compatExt spid="_x0000_s512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1217" name="Check Box 17" hidden="1">
              <a:extLst>
                <a:ext uri="{63B3BB69-23CF-44E3-9099-C40C66FF867C}">
                  <a14:compatExt spid="_x0000_s512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1218" name="Check Box 18" hidden="1">
              <a:extLst>
                <a:ext uri="{63B3BB69-23CF-44E3-9099-C40C66FF867C}">
                  <a14:compatExt spid="_x0000_s512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4273" name="Check Box 1" hidden="1">
              <a:extLst>
                <a:ext uri="{63B3BB69-23CF-44E3-9099-C40C66FF867C}">
                  <a14:compatExt spid="_x0000_s5427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4274" name="Check Box 2" hidden="1">
              <a:extLst>
                <a:ext uri="{63B3BB69-23CF-44E3-9099-C40C66FF867C}">
                  <a14:compatExt spid="_x0000_s5427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4275" name="Check Box 3" hidden="1">
              <a:extLst>
                <a:ext uri="{63B3BB69-23CF-44E3-9099-C40C66FF867C}">
                  <a14:compatExt spid="_x0000_s5427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4276" name="Check Box 4" hidden="1">
              <a:extLst>
                <a:ext uri="{63B3BB69-23CF-44E3-9099-C40C66FF867C}">
                  <a14:compatExt spid="_x0000_s5427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4277" name="Check Box 5" hidden="1">
              <a:extLst>
                <a:ext uri="{63B3BB69-23CF-44E3-9099-C40C66FF867C}">
                  <a14:compatExt spid="_x0000_s542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4278" name="Check Box 6" hidden="1">
              <a:extLst>
                <a:ext uri="{63B3BB69-23CF-44E3-9099-C40C66FF867C}">
                  <a14:compatExt spid="_x0000_s542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4279" name="Check Box 7" hidden="1">
              <a:extLst>
                <a:ext uri="{63B3BB69-23CF-44E3-9099-C40C66FF867C}">
                  <a14:compatExt spid="_x0000_s542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4280" name="Check Box 8" hidden="1">
              <a:extLst>
                <a:ext uri="{63B3BB69-23CF-44E3-9099-C40C66FF867C}">
                  <a14:compatExt spid="_x0000_s542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4281" name="Check Box 9" hidden="1">
              <a:extLst>
                <a:ext uri="{63B3BB69-23CF-44E3-9099-C40C66FF867C}">
                  <a14:compatExt spid="_x0000_s542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4282" name="Check Box 10" hidden="1">
              <a:extLst>
                <a:ext uri="{63B3BB69-23CF-44E3-9099-C40C66FF867C}">
                  <a14:compatExt spid="_x0000_s542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4283" name="Check Box 11" hidden="1">
              <a:extLst>
                <a:ext uri="{63B3BB69-23CF-44E3-9099-C40C66FF867C}">
                  <a14:compatExt spid="_x0000_s542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4284" name="Check Box 12" hidden="1">
              <a:extLst>
                <a:ext uri="{63B3BB69-23CF-44E3-9099-C40C66FF867C}">
                  <a14:compatExt spid="_x0000_s542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4285" name="Check Box 13" hidden="1">
              <a:extLst>
                <a:ext uri="{63B3BB69-23CF-44E3-9099-C40C66FF867C}">
                  <a14:compatExt spid="_x0000_s542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4286" name="Check Box 14" hidden="1">
              <a:extLst>
                <a:ext uri="{63B3BB69-23CF-44E3-9099-C40C66FF867C}">
                  <a14:compatExt spid="_x0000_s542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4287" name="Check Box 15" hidden="1">
              <a:extLst>
                <a:ext uri="{63B3BB69-23CF-44E3-9099-C40C66FF867C}">
                  <a14:compatExt spid="_x0000_s542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4288" name="Check Box 16" hidden="1">
              <a:extLst>
                <a:ext uri="{63B3BB69-23CF-44E3-9099-C40C66FF867C}">
                  <a14:compatExt spid="_x0000_s542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4289" name="Check Box 17" hidden="1">
              <a:extLst>
                <a:ext uri="{63B3BB69-23CF-44E3-9099-C40C66FF867C}">
                  <a14:compatExt spid="_x0000_s542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4290" name="Check Box 18" hidden="1">
              <a:extLst>
                <a:ext uri="{63B3BB69-23CF-44E3-9099-C40C66FF867C}">
                  <a14:compatExt spid="_x0000_s542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3249" name="Check Box 1" hidden="1">
              <a:extLst>
                <a:ext uri="{63B3BB69-23CF-44E3-9099-C40C66FF867C}">
                  <a14:compatExt spid="_x0000_s53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3250" name="Check Box 2" hidden="1">
              <a:extLst>
                <a:ext uri="{63B3BB69-23CF-44E3-9099-C40C66FF867C}">
                  <a14:compatExt spid="_x0000_s53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3251" name="Check Box 3" hidden="1">
              <a:extLst>
                <a:ext uri="{63B3BB69-23CF-44E3-9099-C40C66FF867C}">
                  <a14:compatExt spid="_x0000_s53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3252" name="Check Box 4" hidden="1">
              <a:extLst>
                <a:ext uri="{63B3BB69-23CF-44E3-9099-C40C66FF867C}">
                  <a14:compatExt spid="_x0000_s53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3253" name="Check Box 5" hidden="1">
              <a:extLst>
                <a:ext uri="{63B3BB69-23CF-44E3-9099-C40C66FF867C}">
                  <a14:compatExt spid="_x0000_s532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3254" name="Check Box 6" hidden="1">
              <a:extLst>
                <a:ext uri="{63B3BB69-23CF-44E3-9099-C40C66FF867C}">
                  <a14:compatExt spid="_x0000_s5325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3255" name="Check Box 7" hidden="1">
              <a:extLst>
                <a:ext uri="{63B3BB69-23CF-44E3-9099-C40C66FF867C}">
                  <a14:compatExt spid="_x0000_s5325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3256" name="Check Box 8" hidden="1">
              <a:extLst>
                <a:ext uri="{63B3BB69-23CF-44E3-9099-C40C66FF867C}">
                  <a14:compatExt spid="_x0000_s5325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3257" name="Check Box 9" hidden="1">
              <a:extLst>
                <a:ext uri="{63B3BB69-23CF-44E3-9099-C40C66FF867C}">
                  <a14:compatExt spid="_x0000_s5325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3258" name="Check Box 10" hidden="1">
              <a:extLst>
                <a:ext uri="{63B3BB69-23CF-44E3-9099-C40C66FF867C}">
                  <a14:compatExt spid="_x0000_s5325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3259" name="Check Box 11" hidden="1">
              <a:extLst>
                <a:ext uri="{63B3BB69-23CF-44E3-9099-C40C66FF867C}">
                  <a14:compatExt spid="_x0000_s5325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3260" name="Check Box 12" hidden="1">
              <a:extLst>
                <a:ext uri="{63B3BB69-23CF-44E3-9099-C40C66FF867C}">
                  <a14:compatExt spid="_x0000_s5326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3261" name="Check Box 13" hidden="1">
              <a:extLst>
                <a:ext uri="{63B3BB69-23CF-44E3-9099-C40C66FF867C}">
                  <a14:compatExt spid="_x0000_s5326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3262" name="Check Box 14" hidden="1">
              <a:extLst>
                <a:ext uri="{63B3BB69-23CF-44E3-9099-C40C66FF867C}">
                  <a14:compatExt spid="_x0000_s5326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3263" name="Check Box 15" hidden="1">
              <a:extLst>
                <a:ext uri="{63B3BB69-23CF-44E3-9099-C40C66FF867C}">
                  <a14:compatExt spid="_x0000_s5326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3264" name="Check Box 16" hidden="1">
              <a:extLst>
                <a:ext uri="{63B3BB69-23CF-44E3-9099-C40C66FF867C}">
                  <a14:compatExt spid="_x0000_s5326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3265" name="Check Box 17" hidden="1">
              <a:extLst>
                <a:ext uri="{63B3BB69-23CF-44E3-9099-C40C66FF867C}">
                  <a14:compatExt spid="_x0000_s5326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3266" name="Check Box 18" hidden="1">
              <a:extLst>
                <a:ext uri="{63B3BB69-23CF-44E3-9099-C40C66FF867C}">
                  <a14:compatExt spid="_x0000_s5326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50177" name="Check Box 1" hidden="1">
              <a:extLst>
                <a:ext uri="{63B3BB69-23CF-44E3-9099-C40C66FF867C}">
                  <a14:compatExt spid="_x0000_s5017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50178" name="Check Box 2" hidden="1">
              <a:extLst>
                <a:ext uri="{63B3BB69-23CF-44E3-9099-C40C66FF867C}">
                  <a14:compatExt spid="_x0000_s5017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50179" name="Check Box 3" hidden="1">
              <a:extLst>
                <a:ext uri="{63B3BB69-23CF-44E3-9099-C40C66FF867C}">
                  <a14:compatExt spid="_x0000_s5017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50180" name="Check Box 4" hidden="1">
              <a:extLst>
                <a:ext uri="{63B3BB69-23CF-44E3-9099-C40C66FF867C}">
                  <a14:compatExt spid="_x0000_s5018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50181" name="Check Box 5" hidden="1">
              <a:extLst>
                <a:ext uri="{63B3BB69-23CF-44E3-9099-C40C66FF867C}">
                  <a14:compatExt spid="_x0000_s5018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50182" name="Check Box 6" hidden="1">
              <a:extLst>
                <a:ext uri="{63B3BB69-23CF-44E3-9099-C40C66FF867C}">
                  <a14:compatExt spid="_x0000_s5018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50183" name="Check Box 7" hidden="1">
              <a:extLst>
                <a:ext uri="{63B3BB69-23CF-44E3-9099-C40C66FF867C}">
                  <a14:compatExt spid="_x0000_s5018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50184" name="Check Box 8" hidden="1">
              <a:extLst>
                <a:ext uri="{63B3BB69-23CF-44E3-9099-C40C66FF867C}">
                  <a14:compatExt spid="_x0000_s5018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50185" name="Check Box 9" hidden="1">
              <a:extLst>
                <a:ext uri="{63B3BB69-23CF-44E3-9099-C40C66FF867C}">
                  <a14:compatExt spid="_x0000_s5018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50186" name="Check Box 10" hidden="1">
              <a:extLst>
                <a:ext uri="{63B3BB69-23CF-44E3-9099-C40C66FF867C}">
                  <a14:compatExt spid="_x0000_s5018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50187" name="Check Box 11" hidden="1">
              <a:extLst>
                <a:ext uri="{63B3BB69-23CF-44E3-9099-C40C66FF867C}">
                  <a14:compatExt spid="_x0000_s5018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50188" name="Check Box 12" hidden="1">
              <a:extLst>
                <a:ext uri="{63B3BB69-23CF-44E3-9099-C40C66FF867C}">
                  <a14:compatExt spid="_x0000_s5018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50189" name="Check Box 13" hidden="1">
              <a:extLst>
                <a:ext uri="{63B3BB69-23CF-44E3-9099-C40C66FF867C}">
                  <a14:compatExt spid="_x0000_s5018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50190" name="Check Box 14" hidden="1">
              <a:extLst>
                <a:ext uri="{63B3BB69-23CF-44E3-9099-C40C66FF867C}">
                  <a14:compatExt spid="_x0000_s5019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50191" name="Check Box 15" hidden="1">
              <a:extLst>
                <a:ext uri="{63B3BB69-23CF-44E3-9099-C40C66FF867C}">
                  <a14:compatExt spid="_x0000_s5019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50192" name="Check Box 16" hidden="1">
              <a:extLst>
                <a:ext uri="{63B3BB69-23CF-44E3-9099-C40C66FF867C}">
                  <a14:compatExt spid="_x0000_s5019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50193" name="Check Box 17" hidden="1">
              <a:extLst>
                <a:ext uri="{63B3BB69-23CF-44E3-9099-C40C66FF867C}">
                  <a14:compatExt spid="_x0000_s5019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50194" name="Check Box 18" hidden="1">
              <a:extLst>
                <a:ext uri="{63B3BB69-23CF-44E3-9099-C40C66FF867C}">
                  <a14:compatExt spid="_x0000_s5019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15.xml><?xml version="1.0" encoding="utf-8"?>
<xdr:wsDr xmlns:xdr="http://schemas.openxmlformats.org/drawingml/2006/spreadsheetDrawing" xmlns:a="http://schemas.openxmlformats.org/drawingml/2006/main">
  <xdr:twoCellAnchor editAs="oneCell">
    <xdr:from>
      <xdr:col>1</xdr:col>
      <xdr:colOff>155282</xdr:colOff>
      <xdr:row>0</xdr:row>
      <xdr:rowOff>88046</xdr:rowOff>
    </xdr:from>
    <xdr:to>
      <xdr:col>3</xdr:col>
      <xdr:colOff>680358</xdr:colOff>
      <xdr:row>9</xdr:row>
      <xdr:rowOff>31052</xdr:rowOff>
    </xdr:to>
    <xdr:pic>
      <xdr:nvPicPr>
        <xdr:cNvPr id="2" name="Resim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72" t="16371" b="28205"/>
        <a:stretch/>
      </xdr:blipFill>
      <xdr:spPr>
        <a:xfrm>
          <a:off x="250532" y="88046"/>
          <a:ext cx="2934901" cy="1657506"/>
        </a:xfrm>
        <a:prstGeom prst="rect">
          <a:avLst/>
        </a:prstGeom>
      </xdr:spPr>
    </xdr:pic>
    <xdr:clientData/>
  </xdr:twoCellAnchor>
  <xdr:twoCellAnchor editAs="oneCell">
    <xdr:from>
      <xdr:col>10</xdr:col>
      <xdr:colOff>304960</xdr:colOff>
      <xdr:row>0</xdr:row>
      <xdr:rowOff>155280</xdr:rowOff>
    </xdr:from>
    <xdr:to>
      <xdr:col>11</xdr:col>
      <xdr:colOff>2192202</xdr:colOff>
      <xdr:row>10</xdr:row>
      <xdr:rowOff>26631</xdr:rowOff>
    </xdr:to>
    <xdr:pic>
      <xdr:nvPicPr>
        <xdr:cNvPr id="3" name="Resim 2"/>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5559" t="20957" r="9571" b="18567"/>
        <a:stretch/>
      </xdr:blipFill>
      <xdr:spPr>
        <a:xfrm>
          <a:off x="15087760" y="155280"/>
          <a:ext cx="4030367" cy="1776351"/>
        </a:xfrm>
        <a:prstGeom prst="rect">
          <a:avLst/>
        </a:prstGeom>
      </xdr:spPr>
    </xdr:pic>
    <xdr:clientData/>
  </xdr:twoCellAnchor>
  <xdr:twoCellAnchor editAs="oneCell">
    <xdr:from>
      <xdr:col>2</xdr:col>
      <xdr:colOff>1061357</xdr:colOff>
      <xdr:row>225</xdr:row>
      <xdr:rowOff>54429</xdr:rowOff>
    </xdr:from>
    <xdr:to>
      <xdr:col>11</xdr:col>
      <xdr:colOff>356940</xdr:colOff>
      <xdr:row>229</xdr:row>
      <xdr:rowOff>2</xdr:rowOff>
    </xdr:to>
    <xdr:pic>
      <xdr:nvPicPr>
        <xdr:cNvPr id="4" name="Resim 3"/>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1298"/>
        <a:stretch/>
      </xdr:blipFill>
      <xdr:spPr>
        <a:xfrm>
          <a:off x="1528082" y="75521004"/>
          <a:ext cx="15754783" cy="1317173"/>
        </a:xfrm>
        <a:prstGeom prst="rect">
          <a:avLst/>
        </a:prstGeom>
      </xdr:spPr>
    </xdr:pic>
    <xdr:clientData/>
  </xdr:twoCellAnchor>
  <xdr:oneCellAnchor>
    <xdr:from>
      <xdr:col>3</xdr:col>
      <xdr:colOff>2231572</xdr:colOff>
      <xdr:row>17</xdr:row>
      <xdr:rowOff>68035</xdr:rowOff>
    </xdr:from>
    <xdr:ext cx="184731" cy="264560"/>
    <xdr:sp macro="" textlink="">
      <xdr:nvSpPr>
        <xdr:cNvPr id="5" name="Metin kutusu 4"/>
        <xdr:cNvSpPr txBox="1"/>
      </xdr:nvSpPr>
      <xdr:spPr>
        <a:xfrm>
          <a:off x="4736647" y="422093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xdr:oneCellAnchor>
    <xdr:from>
      <xdr:col>12</xdr:col>
      <xdr:colOff>0</xdr:colOff>
      <xdr:row>15</xdr:row>
      <xdr:rowOff>13607</xdr:rowOff>
    </xdr:from>
    <xdr:ext cx="184731" cy="264560"/>
    <xdr:sp macro="" textlink="">
      <xdr:nvSpPr>
        <xdr:cNvPr id="6" name="Metin kutusu 5"/>
        <xdr:cNvSpPr txBox="1"/>
      </xdr:nvSpPr>
      <xdr:spPr>
        <a:xfrm>
          <a:off x="19459575" y="348070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tr-TR" sz="1100"/>
        </a:p>
      </xdr:txBody>
    </xdr:sp>
    <xdr:clientData/>
  </xdr:oneCellAnchor>
  <mc:AlternateContent xmlns:mc="http://schemas.openxmlformats.org/markup-compatibility/2006">
    <mc:Choice xmlns:a14="http://schemas.microsoft.com/office/drawing/2010/main" Requires="a14">
      <xdr:twoCellAnchor editAs="oneCell">
        <xdr:from>
          <xdr:col>2</xdr:col>
          <xdr:colOff>600075</xdr:colOff>
          <xdr:row>15</xdr:row>
          <xdr:rowOff>38100</xdr:rowOff>
        </xdr:from>
        <xdr:to>
          <xdr:col>3</xdr:col>
          <xdr:colOff>3743325</xdr:colOff>
          <xdr:row>18</xdr:row>
          <xdr:rowOff>314325</xdr:rowOff>
        </xdr:to>
        <xdr:sp macro="" textlink="">
          <xdr:nvSpPr>
            <xdr:cNvPr id="47105" name="Check Box 1" hidden="1">
              <a:extLst>
                <a:ext uri="{63B3BB69-23CF-44E3-9099-C40C66FF867C}">
                  <a14:compatExt spid="_x0000_s4710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276225</xdr:colOff>
          <xdr:row>15</xdr:row>
          <xdr:rowOff>57150</xdr:rowOff>
        </xdr:from>
        <xdr:to>
          <xdr:col>11</xdr:col>
          <xdr:colOff>2419350</xdr:colOff>
          <xdr:row>18</xdr:row>
          <xdr:rowOff>276225</xdr:rowOff>
        </xdr:to>
        <xdr:sp macro="" textlink="">
          <xdr:nvSpPr>
            <xdr:cNvPr id="47106" name="Check Box 2" hidden="1">
              <a:extLst>
                <a:ext uri="{63B3BB69-23CF-44E3-9099-C40C66FF867C}">
                  <a14:compatExt spid="_x0000_s4710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152400</xdr:colOff>
          <xdr:row>28</xdr:row>
          <xdr:rowOff>323850</xdr:rowOff>
        </xdr:from>
        <xdr:to>
          <xdr:col>3</xdr:col>
          <xdr:colOff>2952750</xdr:colOff>
          <xdr:row>29</xdr:row>
          <xdr:rowOff>323850</xdr:rowOff>
        </xdr:to>
        <xdr:sp macro="" textlink="">
          <xdr:nvSpPr>
            <xdr:cNvPr id="47107" name="Check Box 3" hidden="1">
              <a:extLst>
                <a:ext uri="{63B3BB69-23CF-44E3-9099-C40C66FF867C}">
                  <a14:compatExt spid="_x0000_s4710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3790950</xdr:colOff>
          <xdr:row>28</xdr:row>
          <xdr:rowOff>323850</xdr:rowOff>
        </xdr:from>
        <xdr:to>
          <xdr:col>5</xdr:col>
          <xdr:colOff>657225</xdr:colOff>
          <xdr:row>29</xdr:row>
          <xdr:rowOff>323850</xdr:rowOff>
        </xdr:to>
        <xdr:sp macro="" textlink="">
          <xdr:nvSpPr>
            <xdr:cNvPr id="47108" name="Check Box 4" hidden="1">
              <a:extLst>
                <a:ext uri="{63B3BB69-23CF-44E3-9099-C40C66FF867C}">
                  <a14:compatExt spid="_x0000_s4710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1352550</xdr:colOff>
          <xdr:row>28</xdr:row>
          <xdr:rowOff>333375</xdr:rowOff>
        </xdr:from>
        <xdr:to>
          <xdr:col>6</xdr:col>
          <xdr:colOff>1295400</xdr:colOff>
          <xdr:row>30</xdr:row>
          <xdr:rowOff>0</xdr:rowOff>
        </xdr:to>
        <xdr:sp macro="" textlink="">
          <xdr:nvSpPr>
            <xdr:cNvPr id="47109" name="Check Box 5" hidden="1">
              <a:extLst>
                <a:ext uri="{63B3BB69-23CF-44E3-9099-C40C66FF867C}">
                  <a14:compatExt spid="_x0000_s4710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1104900</xdr:colOff>
          <xdr:row>29</xdr:row>
          <xdr:rowOff>19050</xdr:rowOff>
        </xdr:from>
        <xdr:to>
          <xdr:col>9</xdr:col>
          <xdr:colOff>133350</xdr:colOff>
          <xdr:row>29</xdr:row>
          <xdr:rowOff>314325</xdr:rowOff>
        </xdr:to>
        <xdr:sp macro="" textlink="">
          <xdr:nvSpPr>
            <xdr:cNvPr id="47110" name="Check Box 6" hidden="1">
              <a:extLst>
                <a:ext uri="{63B3BB69-23CF-44E3-9099-C40C66FF867C}">
                  <a14:compatExt spid="_x0000_s4711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447675</xdr:colOff>
          <xdr:row>29</xdr:row>
          <xdr:rowOff>323850</xdr:rowOff>
        </xdr:from>
        <xdr:to>
          <xdr:col>4</xdr:col>
          <xdr:colOff>1495425</xdr:colOff>
          <xdr:row>30</xdr:row>
          <xdr:rowOff>323850</xdr:rowOff>
        </xdr:to>
        <xdr:sp macro="" textlink="">
          <xdr:nvSpPr>
            <xdr:cNvPr id="47111" name="Check Box 7" hidden="1">
              <a:extLst>
                <a:ext uri="{63B3BB69-23CF-44E3-9099-C40C66FF867C}">
                  <a14:compatExt spid="_x0000_s4711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381000</xdr:colOff>
          <xdr:row>29</xdr:row>
          <xdr:rowOff>314325</xdr:rowOff>
        </xdr:from>
        <xdr:to>
          <xdr:col>8</xdr:col>
          <xdr:colOff>57150</xdr:colOff>
          <xdr:row>30</xdr:row>
          <xdr:rowOff>314325</xdr:rowOff>
        </xdr:to>
        <xdr:sp macro="" textlink="">
          <xdr:nvSpPr>
            <xdr:cNvPr id="47112" name="Check Box 8" hidden="1">
              <a:extLst>
                <a:ext uri="{63B3BB69-23CF-44E3-9099-C40C66FF867C}">
                  <a14:compatExt spid="_x0000_s4711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476250</xdr:colOff>
          <xdr:row>29</xdr:row>
          <xdr:rowOff>323850</xdr:rowOff>
        </xdr:from>
        <xdr:to>
          <xdr:col>10</xdr:col>
          <xdr:colOff>828675</xdr:colOff>
          <xdr:row>30</xdr:row>
          <xdr:rowOff>323850</xdr:rowOff>
        </xdr:to>
        <xdr:sp macro="" textlink="">
          <xdr:nvSpPr>
            <xdr:cNvPr id="47113" name="Check Box 9" hidden="1">
              <a:extLst>
                <a:ext uri="{63B3BB69-23CF-44E3-9099-C40C66FF867C}">
                  <a14:compatExt spid="_x0000_s4711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685800</xdr:colOff>
          <xdr:row>154</xdr:row>
          <xdr:rowOff>28575</xdr:rowOff>
        </xdr:from>
        <xdr:to>
          <xdr:col>8</xdr:col>
          <xdr:colOff>190500</xdr:colOff>
          <xdr:row>154</xdr:row>
          <xdr:rowOff>285750</xdr:rowOff>
        </xdr:to>
        <xdr:sp macro="" textlink="">
          <xdr:nvSpPr>
            <xdr:cNvPr id="47114" name="Check Box 10" hidden="1">
              <a:extLst>
                <a:ext uri="{63B3BB69-23CF-44E3-9099-C40C66FF867C}">
                  <a14:compatExt spid="_x0000_s4711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1276350</xdr:colOff>
          <xdr:row>154</xdr:row>
          <xdr:rowOff>323850</xdr:rowOff>
        </xdr:from>
        <xdr:to>
          <xdr:col>8</xdr:col>
          <xdr:colOff>695325</xdr:colOff>
          <xdr:row>155</xdr:row>
          <xdr:rowOff>323850</xdr:rowOff>
        </xdr:to>
        <xdr:sp macro="" textlink="">
          <xdr:nvSpPr>
            <xdr:cNvPr id="47115" name="Check Box 11" hidden="1">
              <a:extLst>
                <a:ext uri="{63B3BB69-23CF-44E3-9099-C40C66FF867C}">
                  <a14:compatExt spid="_x0000_s4711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295275</xdr:colOff>
          <xdr:row>155</xdr:row>
          <xdr:rowOff>333375</xdr:rowOff>
        </xdr:from>
        <xdr:to>
          <xdr:col>8</xdr:col>
          <xdr:colOff>9525</xdr:colOff>
          <xdr:row>157</xdr:row>
          <xdr:rowOff>0</xdr:rowOff>
        </xdr:to>
        <xdr:sp macro="" textlink="">
          <xdr:nvSpPr>
            <xdr:cNvPr id="47116" name="Check Box 12" hidden="1">
              <a:extLst>
                <a:ext uri="{63B3BB69-23CF-44E3-9099-C40C66FF867C}">
                  <a14:compatExt spid="_x0000_s4711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171450</xdr:colOff>
          <xdr:row>160</xdr:row>
          <xdr:rowOff>57150</xdr:rowOff>
        </xdr:from>
        <xdr:to>
          <xdr:col>6</xdr:col>
          <xdr:colOff>1019175</xdr:colOff>
          <xdr:row>160</xdr:row>
          <xdr:rowOff>314325</xdr:rowOff>
        </xdr:to>
        <xdr:sp macro="" textlink="">
          <xdr:nvSpPr>
            <xdr:cNvPr id="47117" name="Check Box 13" hidden="1">
              <a:extLst>
                <a:ext uri="{63B3BB69-23CF-44E3-9099-C40C66FF867C}">
                  <a14:compatExt spid="_x0000_s4711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952500</xdr:colOff>
          <xdr:row>159</xdr:row>
          <xdr:rowOff>28575</xdr:rowOff>
        </xdr:from>
        <xdr:to>
          <xdr:col>6</xdr:col>
          <xdr:colOff>419100</xdr:colOff>
          <xdr:row>159</xdr:row>
          <xdr:rowOff>276225</xdr:rowOff>
        </xdr:to>
        <xdr:sp macro="" textlink="">
          <xdr:nvSpPr>
            <xdr:cNvPr id="47118" name="Check Box 14" hidden="1">
              <a:extLst>
                <a:ext uri="{63B3BB69-23CF-44E3-9099-C40C66FF867C}">
                  <a14:compatExt spid="_x0000_s4711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180975</xdr:colOff>
          <xdr:row>161</xdr:row>
          <xdr:rowOff>38100</xdr:rowOff>
        </xdr:from>
        <xdr:to>
          <xdr:col>6</xdr:col>
          <xdr:colOff>990600</xdr:colOff>
          <xdr:row>161</xdr:row>
          <xdr:rowOff>295275</xdr:rowOff>
        </xdr:to>
        <xdr:sp macro="" textlink="">
          <xdr:nvSpPr>
            <xdr:cNvPr id="47119" name="Check Box 15" hidden="1">
              <a:extLst>
                <a:ext uri="{63B3BB69-23CF-44E3-9099-C40C66FF867C}">
                  <a14:compatExt spid="_x0000_s4711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257175</xdr:colOff>
          <xdr:row>160</xdr:row>
          <xdr:rowOff>57150</xdr:rowOff>
        </xdr:from>
        <xdr:to>
          <xdr:col>8</xdr:col>
          <xdr:colOff>962025</xdr:colOff>
          <xdr:row>160</xdr:row>
          <xdr:rowOff>285750</xdr:rowOff>
        </xdr:to>
        <xdr:sp macro="" textlink="">
          <xdr:nvSpPr>
            <xdr:cNvPr id="47120" name="Check Box 16" hidden="1">
              <a:extLst>
                <a:ext uri="{63B3BB69-23CF-44E3-9099-C40C66FF867C}">
                  <a14:compatExt spid="_x0000_s4712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866775</xdr:colOff>
          <xdr:row>161</xdr:row>
          <xdr:rowOff>38100</xdr:rowOff>
        </xdr:from>
        <xdr:to>
          <xdr:col>8</xdr:col>
          <xdr:colOff>476250</xdr:colOff>
          <xdr:row>161</xdr:row>
          <xdr:rowOff>295275</xdr:rowOff>
        </xdr:to>
        <xdr:sp macro="" textlink="">
          <xdr:nvSpPr>
            <xdr:cNvPr id="47121" name="Check Box 17" hidden="1">
              <a:extLst>
                <a:ext uri="{63B3BB69-23CF-44E3-9099-C40C66FF867C}">
                  <a14:compatExt spid="_x0000_s4712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1990725</xdr:colOff>
          <xdr:row>29</xdr:row>
          <xdr:rowOff>9525</xdr:rowOff>
        </xdr:from>
        <xdr:to>
          <xdr:col>11</xdr:col>
          <xdr:colOff>1619250</xdr:colOff>
          <xdr:row>29</xdr:row>
          <xdr:rowOff>295275</xdr:rowOff>
        </xdr:to>
        <xdr:sp macro="" textlink="">
          <xdr:nvSpPr>
            <xdr:cNvPr id="47122" name="Check Box 18" hidden="1">
              <a:extLst>
                <a:ext uri="{63B3BB69-23CF-44E3-9099-C40C66FF867C}">
                  <a14:compatExt spid="_x0000_s4712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trlProp" Target="../ctrlProps/ctrlProp28.xml"/><Relationship Id="rId18" Type="http://schemas.openxmlformats.org/officeDocument/2006/relationships/ctrlProp" Target="../ctrlProps/ctrlProp33.xml"/><Relationship Id="rId3" Type="http://schemas.openxmlformats.org/officeDocument/2006/relationships/vmlDrawing" Target="../drawings/vmlDrawing2.vml"/><Relationship Id="rId21" Type="http://schemas.openxmlformats.org/officeDocument/2006/relationships/ctrlProp" Target="../ctrlProps/ctrlProp36.xml"/><Relationship Id="rId7" Type="http://schemas.openxmlformats.org/officeDocument/2006/relationships/ctrlProp" Target="../ctrlProps/ctrlProp22.xml"/><Relationship Id="rId12" Type="http://schemas.openxmlformats.org/officeDocument/2006/relationships/ctrlProp" Target="../ctrlProps/ctrlProp27.xml"/><Relationship Id="rId17" Type="http://schemas.openxmlformats.org/officeDocument/2006/relationships/ctrlProp" Target="../ctrlProps/ctrlProp32.xml"/><Relationship Id="rId2" Type="http://schemas.openxmlformats.org/officeDocument/2006/relationships/drawing" Target="../drawings/drawing2.xml"/><Relationship Id="rId16" Type="http://schemas.openxmlformats.org/officeDocument/2006/relationships/ctrlProp" Target="../ctrlProps/ctrlProp31.xml"/><Relationship Id="rId20" Type="http://schemas.openxmlformats.org/officeDocument/2006/relationships/ctrlProp" Target="../ctrlProps/ctrlProp35.xml"/><Relationship Id="rId1" Type="http://schemas.openxmlformats.org/officeDocument/2006/relationships/printerSettings" Target="../printerSettings/printerSettings2.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5" Type="http://schemas.openxmlformats.org/officeDocument/2006/relationships/ctrlProp" Target="../ctrlProps/ctrlProp30.xml"/><Relationship Id="rId10" Type="http://schemas.openxmlformats.org/officeDocument/2006/relationships/ctrlProp" Target="../ctrlProps/ctrlProp25.xml"/><Relationship Id="rId19" Type="http://schemas.openxmlformats.org/officeDocument/2006/relationships/ctrlProp" Target="../ctrlProps/ctrlProp34.xml"/><Relationship Id="rId4" Type="http://schemas.openxmlformats.org/officeDocument/2006/relationships/ctrlProp" Target="../ctrlProps/ctrlProp19.xml"/><Relationship Id="rId9" Type="http://schemas.openxmlformats.org/officeDocument/2006/relationships/ctrlProp" Target="../ctrlProps/ctrlProp24.xml"/><Relationship Id="rId14" Type="http://schemas.openxmlformats.org/officeDocument/2006/relationships/ctrlProp" Target="../ctrlProps/ctrlProp29.xml"/><Relationship Id="rId22" Type="http://schemas.openxmlformats.org/officeDocument/2006/relationships/ctrlProp" Target="../ctrlProps/ctrlProp37.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42.xml"/><Relationship Id="rId13" Type="http://schemas.openxmlformats.org/officeDocument/2006/relationships/ctrlProp" Target="../ctrlProps/ctrlProp47.xml"/><Relationship Id="rId18" Type="http://schemas.openxmlformats.org/officeDocument/2006/relationships/ctrlProp" Target="../ctrlProps/ctrlProp52.xml"/><Relationship Id="rId3" Type="http://schemas.openxmlformats.org/officeDocument/2006/relationships/vmlDrawing" Target="../drawings/vmlDrawing3.vml"/><Relationship Id="rId21" Type="http://schemas.openxmlformats.org/officeDocument/2006/relationships/ctrlProp" Target="../ctrlProps/ctrlProp55.xml"/><Relationship Id="rId7" Type="http://schemas.openxmlformats.org/officeDocument/2006/relationships/ctrlProp" Target="../ctrlProps/ctrlProp41.xml"/><Relationship Id="rId12" Type="http://schemas.openxmlformats.org/officeDocument/2006/relationships/ctrlProp" Target="../ctrlProps/ctrlProp46.xml"/><Relationship Id="rId17" Type="http://schemas.openxmlformats.org/officeDocument/2006/relationships/ctrlProp" Target="../ctrlProps/ctrlProp51.xml"/><Relationship Id="rId2" Type="http://schemas.openxmlformats.org/officeDocument/2006/relationships/drawing" Target="../drawings/drawing3.xml"/><Relationship Id="rId16" Type="http://schemas.openxmlformats.org/officeDocument/2006/relationships/ctrlProp" Target="../ctrlProps/ctrlProp50.xml"/><Relationship Id="rId20" Type="http://schemas.openxmlformats.org/officeDocument/2006/relationships/ctrlProp" Target="../ctrlProps/ctrlProp54.xml"/><Relationship Id="rId1" Type="http://schemas.openxmlformats.org/officeDocument/2006/relationships/printerSettings" Target="../printerSettings/printerSettings3.bin"/><Relationship Id="rId6" Type="http://schemas.openxmlformats.org/officeDocument/2006/relationships/ctrlProp" Target="../ctrlProps/ctrlProp40.xml"/><Relationship Id="rId11" Type="http://schemas.openxmlformats.org/officeDocument/2006/relationships/ctrlProp" Target="../ctrlProps/ctrlProp45.xml"/><Relationship Id="rId5" Type="http://schemas.openxmlformats.org/officeDocument/2006/relationships/ctrlProp" Target="../ctrlProps/ctrlProp39.xml"/><Relationship Id="rId15" Type="http://schemas.openxmlformats.org/officeDocument/2006/relationships/ctrlProp" Target="../ctrlProps/ctrlProp49.xml"/><Relationship Id="rId10" Type="http://schemas.openxmlformats.org/officeDocument/2006/relationships/ctrlProp" Target="../ctrlProps/ctrlProp44.xml"/><Relationship Id="rId19" Type="http://schemas.openxmlformats.org/officeDocument/2006/relationships/ctrlProp" Target="../ctrlProps/ctrlProp53.xml"/><Relationship Id="rId4" Type="http://schemas.openxmlformats.org/officeDocument/2006/relationships/ctrlProp" Target="../ctrlProps/ctrlProp38.xml"/><Relationship Id="rId9" Type="http://schemas.openxmlformats.org/officeDocument/2006/relationships/ctrlProp" Target="../ctrlProps/ctrlProp43.xml"/><Relationship Id="rId14" Type="http://schemas.openxmlformats.org/officeDocument/2006/relationships/ctrlProp" Target="../ctrlProps/ctrlProp4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60.xml"/><Relationship Id="rId13" Type="http://schemas.openxmlformats.org/officeDocument/2006/relationships/ctrlProp" Target="../ctrlProps/ctrlProp65.xml"/><Relationship Id="rId18" Type="http://schemas.openxmlformats.org/officeDocument/2006/relationships/ctrlProp" Target="../ctrlProps/ctrlProp70.xml"/><Relationship Id="rId3" Type="http://schemas.openxmlformats.org/officeDocument/2006/relationships/vmlDrawing" Target="../drawings/vmlDrawing4.vml"/><Relationship Id="rId21" Type="http://schemas.openxmlformats.org/officeDocument/2006/relationships/ctrlProp" Target="../ctrlProps/ctrlProp73.xml"/><Relationship Id="rId7" Type="http://schemas.openxmlformats.org/officeDocument/2006/relationships/ctrlProp" Target="../ctrlProps/ctrlProp59.xml"/><Relationship Id="rId12" Type="http://schemas.openxmlformats.org/officeDocument/2006/relationships/ctrlProp" Target="../ctrlProps/ctrlProp64.xml"/><Relationship Id="rId17" Type="http://schemas.openxmlformats.org/officeDocument/2006/relationships/ctrlProp" Target="../ctrlProps/ctrlProp69.xml"/><Relationship Id="rId2" Type="http://schemas.openxmlformats.org/officeDocument/2006/relationships/drawing" Target="../drawings/drawing4.xml"/><Relationship Id="rId16" Type="http://schemas.openxmlformats.org/officeDocument/2006/relationships/ctrlProp" Target="../ctrlProps/ctrlProp68.xml"/><Relationship Id="rId20"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58.xml"/><Relationship Id="rId11" Type="http://schemas.openxmlformats.org/officeDocument/2006/relationships/ctrlProp" Target="../ctrlProps/ctrlProp63.xml"/><Relationship Id="rId5" Type="http://schemas.openxmlformats.org/officeDocument/2006/relationships/ctrlProp" Target="../ctrlProps/ctrlProp57.xml"/><Relationship Id="rId15" Type="http://schemas.openxmlformats.org/officeDocument/2006/relationships/ctrlProp" Target="../ctrlProps/ctrlProp67.xml"/><Relationship Id="rId10" Type="http://schemas.openxmlformats.org/officeDocument/2006/relationships/ctrlProp" Target="../ctrlProps/ctrlProp62.xml"/><Relationship Id="rId19" Type="http://schemas.openxmlformats.org/officeDocument/2006/relationships/ctrlProp" Target="../ctrlProps/ctrlProp71.xml"/><Relationship Id="rId4" Type="http://schemas.openxmlformats.org/officeDocument/2006/relationships/ctrlProp" Target="../ctrlProps/ctrlProp56.xml"/><Relationship Id="rId9" Type="http://schemas.openxmlformats.org/officeDocument/2006/relationships/ctrlProp" Target="../ctrlProps/ctrlProp61.xml"/><Relationship Id="rId14" Type="http://schemas.openxmlformats.org/officeDocument/2006/relationships/ctrlProp" Target="../ctrlProps/ctrlProp66.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7.xml"/><Relationship Id="rId13" Type="http://schemas.openxmlformats.org/officeDocument/2006/relationships/ctrlProp" Target="../ctrlProps/ctrlProp82.xml"/><Relationship Id="rId18" Type="http://schemas.openxmlformats.org/officeDocument/2006/relationships/ctrlProp" Target="../ctrlProps/ctrlProp87.xml"/><Relationship Id="rId3" Type="http://schemas.openxmlformats.org/officeDocument/2006/relationships/drawing" Target="../drawings/drawing5.xml"/><Relationship Id="rId21" Type="http://schemas.openxmlformats.org/officeDocument/2006/relationships/ctrlProp" Target="../ctrlProps/ctrlProp90.xml"/><Relationship Id="rId7" Type="http://schemas.openxmlformats.org/officeDocument/2006/relationships/ctrlProp" Target="../ctrlProps/ctrlProp76.xml"/><Relationship Id="rId12" Type="http://schemas.openxmlformats.org/officeDocument/2006/relationships/ctrlProp" Target="../ctrlProps/ctrlProp81.xml"/><Relationship Id="rId17" Type="http://schemas.openxmlformats.org/officeDocument/2006/relationships/ctrlProp" Target="../ctrlProps/ctrlProp86.xml"/><Relationship Id="rId2" Type="http://schemas.openxmlformats.org/officeDocument/2006/relationships/printerSettings" Target="../printerSettings/printerSettings5.bin"/><Relationship Id="rId16" Type="http://schemas.openxmlformats.org/officeDocument/2006/relationships/ctrlProp" Target="../ctrlProps/ctrlProp85.xml"/><Relationship Id="rId20" Type="http://schemas.openxmlformats.org/officeDocument/2006/relationships/ctrlProp" Target="../ctrlProps/ctrlProp89.xml"/><Relationship Id="rId1" Type="http://schemas.openxmlformats.org/officeDocument/2006/relationships/hyperlink" Target="mailto:sktoprak@soyasgrup.com" TargetMode="External"/><Relationship Id="rId6" Type="http://schemas.openxmlformats.org/officeDocument/2006/relationships/ctrlProp" Target="../ctrlProps/ctrlProp75.xml"/><Relationship Id="rId11" Type="http://schemas.openxmlformats.org/officeDocument/2006/relationships/ctrlProp" Target="../ctrlProps/ctrlProp80.xml"/><Relationship Id="rId5" Type="http://schemas.openxmlformats.org/officeDocument/2006/relationships/ctrlProp" Target="../ctrlProps/ctrlProp74.xml"/><Relationship Id="rId15" Type="http://schemas.openxmlformats.org/officeDocument/2006/relationships/ctrlProp" Target="../ctrlProps/ctrlProp84.xml"/><Relationship Id="rId10" Type="http://schemas.openxmlformats.org/officeDocument/2006/relationships/ctrlProp" Target="../ctrlProps/ctrlProp79.xml"/><Relationship Id="rId19" Type="http://schemas.openxmlformats.org/officeDocument/2006/relationships/ctrlProp" Target="../ctrlProps/ctrlProp88.xml"/><Relationship Id="rId4" Type="http://schemas.openxmlformats.org/officeDocument/2006/relationships/vmlDrawing" Target="../drawings/vmlDrawing5.vml"/><Relationship Id="rId9" Type="http://schemas.openxmlformats.org/officeDocument/2006/relationships/ctrlProp" Target="../ctrlProps/ctrlProp78.xml"/><Relationship Id="rId14" Type="http://schemas.openxmlformats.org/officeDocument/2006/relationships/ctrlProp" Target="../ctrlProps/ctrlProp83.xml"/><Relationship Id="rId22" Type="http://schemas.openxmlformats.org/officeDocument/2006/relationships/ctrlProp" Target="../ctrlProps/ctrlProp9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96.xml"/><Relationship Id="rId13" Type="http://schemas.openxmlformats.org/officeDocument/2006/relationships/ctrlProp" Target="../ctrlProps/ctrlProp101.xml"/><Relationship Id="rId18" Type="http://schemas.openxmlformats.org/officeDocument/2006/relationships/ctrlProp" Target="../ctrlProps/ctrlProp106.xml"/><Relationship Id="rId3" Type="http://schemas.openxmlformats.org/officeDocument/2006/relationships/vmlDrawing" Target="../drawings/vmlDrawing6.vml"/><Relationship Id="rId21" Type="http://schemas.openxmlformats.org/officeDocument/2006/relationships/ctrlProp" Target="../ctrlProps/ctrlProp109.xml"/><Relationship Id="rId7" Type="http://schemas.openxmlformats.org/officeDocument/2006/relationships/ctrlProp" Target="../ctrlProps/ctrlProp95.xml"/><Relationship Id="rId12" Type="http://schemas.openxmlformats.org/officeDocument/2006/relationships/ctrlProp" Target="../ctrlProps/ctrlProp100.xml"/><Relationship Id="rId17" Type="http://schemas.openxmlformats.org/officeDocument/2006/relationships/ctrlProp" Target="../ctrlProps/ctrlProp105.xml"/><Relationship Id="rId2" Type="http://schemas.openxmlformats.org/officeDocument/2006/relationships/drawing" Target="../drawings/drawing6.xml"/><Relationship Id="rId16" Type="http://schemas.openxmlformats.org/officeDocument/2006/relationships/ctrlProp" Target="../ctrlProps/ctrlProp104.xml"/><Relationship Id="rId20" Type="http://schemas.openxmlformats.org/officeDocument/2006/relationships/ctrlProp" Target="../ctrlProps/ctrlProp108.xml"/><Relationship Id="rId1" Type="http://schemas.openxmlformats.org/officeDocument/2006/relationships/printerSettings" Target="../printerSettings/printerSettings6.bin"/><Relationship Id="rId6" Type="http://schemas.openxmlformats.org/officeDocument/2006/relationships/ctrlProp" Target="../ctrlProps/ctrlProp94.xml"/><Relationship Id="rId11" Type="http://schemas.openxmlformats.org/officeDocument/2006/relationships/ctrlProp" Target="../ctrlProps/ctrlProp99.xml"/><Relationship Id="rId5" Type="http://schemas.openxmlformats.org/officeDocument/2006/relationships/ctrlProp" Target="../ctrlProps/ctrlProp93.xml"/><Relationship Id="rId15" Type="http://schemas.openxmlformats.org/officeDocument/2006/relationships/ctrlProp" Target="../ctrlProps/ctrlProp103.xml"/><Relationship Id="rId10" Type="http://schemas.openxmlformats.org/officeDocument/2006/relationships/ctrlProp" Target="../ctrlProps/ctrlProp98.xml"/><Relationship Id="rId19" Type="http://schemas.openxmlformats.org/officeDocument/2006/relationships/ctrlProp" Target="../ctrlProps/ctrlProp107.xml"/><Relationship Id="rId4" Type="http://schemas.openxmlformats.org/officeDocument/2006/relationships/ctrlProp" Target="../ctrlProps/ctrlProp92.xml"/><Relationship Id="rId9" Type="http://schemas.openxmlformats.org/officeDocument/2006/relationships/ctrlProp" Target="../ctrlProps/ctrlProp97.xml"/><Relationship Id="rId14" Type="http://schemas.openxmlformats.org/officeDocument/2006/relationships/ctrlProp" Target="../ctrlProps/ctrlProp102.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114.xml"/><Relationship Id="rId13" Type="http://schemas.openxmlformats.org/officeDocument/2006/relationships/ctrlProp" Target="../ctrlProps/ctrlProp119.xml"/><Relationship Id="rId3" Type="http://schemas.openxmlformats.org/officeDocument/2006/relationships/vmlDrawing" Target="../drawings/vmlDrawing7.vml"/><Relationship Id="rId7" Type="http://schemas.openxmlformats.org/officeDocument/2006/relationships/ctrlProp" Target="../ctrlProps/ctrlProp113.xml"/><Relationship Id="rId12" Type="http://schemas.openxmlformats.org/officeDocument/2006/relationships/ctrlProp" Target="../ctrlProps/ctrlProp118.xml"/><Relationship Id="rId2" Type="http://schemas.openxmlformats.org/officeDocument/2006/relationships/drawing" Target="../drawings/drawing7.xml"/><Relationship Id="rId16" Type="http://schemas.openxmlformats.org/officeDocument/2006/relationships/ctrlProp" Target="../ctrlProps/ctrlProp122.xml"/><Relationship Id="rId1" Type="http://schemas.openxmlformats.org/officeDocument/2006/relationships/printerSettings" Target="../printerSettings/printerSettings7.bin"/><Relationship Id="rId6" Type="http://schemas.openxmlformats.org/officeDocument/2006/relationships/ctrlProp" Target="../ctrlProps/ctrlProp112.xml"/><Relationship Id="rId11" Type="http://schemas.openxmlformats.org/officeDocument/2006/relationships/ctrlProp" Target="../ctrlProps/ctrlProp117.xml"/><Relationship Id="rId5" Type="http://schemas.openxmlformats.org/officeDocument/2006/relationships/ctrlProp" Target="../ctrlProps/ctrlProp111.xml"/><Relationship Id="rId15" Type="http://schemas.openxmlformats.org/officeDocument/2006/relationships/ctrlProp" Target="../ctrlProps/ctrlProp121.xml"/><Relationship Id="rId10" Type="http://schemas.openxmlformats.org/officeDocument/2006/relationships/ctrlProp" Target="../ctrlProps/ctrlProp116.xml"/><Relationship Id="rId4" Type="http://schemas.openxmlformats.org/officeDocument/2006/relationships/ctrlProp" Target="../ctrlProps/ctrlProp110.xml"/><Relationship Id="rId9" Type="http://schemas.openxmlformats.org/officeDocument/2006/relationships/ctrlProp" Target="../ctrlProps/ctrlProp115.xml"/><Relationship Id="rId14" Type="http://schemas.openxmlformats.org/officeDocument/2006/relationships/ctrlProp" Target="../ctrlProps/ctrlProp120.xml"/></Relationships>
</file>

<file path=xl/worksheets/_rels/sheet8.xml.rels><?xml version="1.0" encoding="UTF-8" standalone="yes"?>
<Relationships xmlns="http://schemas.openxmlformats.org/package/2006/relationships"><Relationship Id="rId8" Type="http://schemas.openxmlformats.org/officeDocument/2006/relationships/ctrlProp" Target="../ctrlProps/ctrlProp127.xml"/><Relationship Id="rId13" Type="http://schemas.openxmlformats.org/officeDocument/2006/relationships/ctrlProp" Target="../ctrlProps/ctrlProp132.xml"/><Relationship Id="rId18" Type="http://schemas.openxmlformats.org/officeDocument/2006/relationships/ctrlProp" Target="../ctrlProps/ctrlProp137.xml"/><Relationship Id="rId3" Type="http://schemas.openxmlformats.org/officeDocument/2006/relationships/vmlDrawing" Target="../drawings/vmlDrawing8.vml"/><Relationship Id="rId21" Type="http://schemas.openxmlformats.org/officeDocument/2006/relationships/ctrlProp" Target="../ctrlProps/ctrlProp140.xml"/><Relationship Id="rId7" Type="http://schemas.openxmlformats.org/officeDocument/2006/relationships/ctrlProp" Target="../ctrlProps/ctrlProp126.xml"/><Relationship Id="rId12" Type="http://schemas.openxmlformats.org/officeDocument/2006/relationships/ctrlProp" Target="../ctrlProps/ctrlProp131.xml"/><Relationship Id="rId17" Type="http://schemas.openxmlformats.org/officeDocument/2006/relationships/ctrlProp" Target="../ctrlProps/ctrlProp136.xml"/><Relationship Id="rId2" Type="http://schemas.openxmlformats.org/officeDocument/2006/relationships/drawing" Target="../drawings/drawing8.xml"/><Relationship Id="rId16" Type="http://schemas.openxmlformats.org/officeDocument/2006/relationships/ctrlProp" Target="../ctrlProps/ctrlProp135.xml"/><Relationship Id="rId20" Type="http://schemas.openxmlformats.org/officeDocument/2006/relationships/ctrlProp" Target="../ctrlProps/ctrlProp139.xml"/><Relationship Id="rId1" Type="http://schemas.openxmlformats.org/officeDocument/2006/relationships/printerSettings" Target="../printerSettings/printerSettings8.bin"/><Relationship Id="rId6" Type="http://schemas.openxmlformats.org/officeDocument/2006/relationships/ctrlProp" Target="../ctrlProps/ctrlProp125.xml"/><Relationship Id="rId11" Type="http://schemas.openxmlformats.org/officeDocument/2006/relationships/ctrlProp" Target="../ctrlProps/ctrlProp130.xml"/><Relationship Id="rId5" Type="http://schemas.openxmlformats.org/officeDocument/2006/relationships/ctrlProp" Target="../ctrlProps/ctrlProp124.xml"/><Relationship Id="rId15" Type="http://schemas.openxmlformats.org/officeDocument/2006/relationships/ctrlProp" Target="../ctrlProps/ctrlProp134.xml"/><Relationship Id="rId10" Type="http://schemas.openxmlformats.org/officeDocument/2006/relationships/ctrlProp" Target="../ctrlProps/ctrlProp129.xml"/><Relationship Id="rId19" Type="http://schemas.openxmlformats.org/officeDocument/2006/relationships/ctrlProp" Target="../ctrlProps/ctrlProp138.xml"/><Relationship Id="rId4" Type="http://schemas.openxmlformats.org/officeDocument/2006/relationships/ctrlProp" Target="../ctrlProps/ctrlProp123.xml"/><Relationship Id="rId9" Type="http://schemas.openxmlformats.org/officeDocument/2006/relationships/ctrlProp" Target="../ctrlProps/ctrlProp128.xml"/><Relationship Id="rId14" Type="http://schemas.openxmlformats.org/officeDocument/2006/relationships/ctrlProp" Target="../ctrlProps/ctrlProp133.xml"/></Relationships>
</file>

<file path=xl/worksheets/_rels/sheet9.xml.rels><?xml version="1.0" encoding="UTF-8" standalone="yes"?>
<Relationships xmlns="http://schemas.openxmlformats.org/package/2006/relationships"><Relationship Id="rId8" Type="http://schemas.openxmlformats.org/officeDocument/2006/relationships/ctrlProp" Target="../ctrlProps/ctrlProp145.xml"/><Relationship Id="rId13" Type="http://schemas.openxmlformats.org/officeDocument/2006/relationships/ctrlProp" Target="../ctrlProps/ctrlProp150.xml"/><Relationship Id="rId18" Type="http://schemas.openxmlformats.org/officeDocument/2006/relationships/ctrlProp" Target="../ctrlProps/ctrlProp155.xml"/><Relationship Id="rId3" Type="http://schemas.openxmlformats.org/officeDocument/2006/relationships/vmlDrawing" Target="../drawings/vmlDrawing9.vml"/><Relationship Id="rId21" Type="http://schemas.openxmlformats.org/officeDocument/2006/relationships/ctrlProp" Target="../ctrlProps/ctrlProp158.xml"/><Relationship Id="rId7" Type="http://schemas.openxmlformats.org/officeDocument/2006/relationships/ctrlProp" Target="../ctrlProps/ctrlProp144.xml"/><Relationship Id="rId12" Type="http://schemas.openxmlformats.org/officeDocument/2006/relationships/ctrlProp" Target="../ctrlProps/ctrlProp149.xml"/><Relationship Id="rId17" Type="http://schemas.openxmlformats.org/officeDocument/2006/relationships/ctrlProp" Target="../ctrlProps/ctrlProp154.xml"/><Relationship Id="rId2" Type="http://schemas.openxmlformats.org/officeDocument/2006/relationships/drawing" Target="../drawings/drawing9.xml"/><Relationship Id="rId16" Type="http://schemas.openxmlformats.org/officeDocument/2006/relationships/ctrlProp" Target="../ctrlProps/ctrlProp153.xml"/><Relationship Id="rId20" Type="http://schemas.openxmlformats.org/officeDocument/2006/relationships/ctrlProp" Target="../ctrlProps/ctrlProp157.xml"/><Relationship Id="rId1" Type="http://schemas.openxmlformats.org/officeDocument/2006/relationships/printerSettings" Target="../printerSettings/printerSettings9.bin"/><Relationship Id="rId6" Type="http://schemas.openxmlformats.org/officeDocument/2006/relationships/ctrlProp" Target="../ctrlProps/ctrlProp143.xml"/><Relationship Id="rId11" Type="http://schemas.openxmlformats.org/officeDocument/2006/relationships/ctrlProp" Target="../ctrlProps/ctrlProp148.xml"/><Relationship Id="rId5" Type="http://schemas.openxmlformats.org/officeDocument/2006/relationships/ctrlProp" Target="../ctrlProps/ctrlProp142.xml"/><Relationship Id="rId15" Type="http://schemas.openxmlformats.org/officeDocument/2006/relationships/ctrlProp" Target="../ctrlProps/ctrlProp152.xml"/><Relationship Id="rId10" Type="http://schemas.openxmlformats.org/officeDocument/2006/relationships/ctrlProp" Target="../ctrlProps/ctrlProp147.xml"/><Relationship Id="rId19" Type="http://schemas.openxmlformats.org/officeDocument/2006/relationships/ctrlProp" Target="../ctrlProps/ctrlProp156.xml"/><Relationship Id="rId4" Type="http://schemas.openxmlformats.org/officeDocument/2006/relationships/ctrlProp" Target="../ctrlProps/ctrlProp141.xml"/><Relationship Id="rId9" Type="http://schemas.openxmlformats.org/officeDocument/2006/relationships/ctrlProp" Target="../ctrlProps/ctrlProp146.xml"/><Relationship Id="rId14" Type="http://schemas.openxmlformats.org/officeDocument/2006/relationships/ctrlProp" Target="../ctrlProps/ctrlProp151.xml"/></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63.xml"/><Relationship Id="rId13" Type="http://schemas.openxmlformats.org/officeDocument/2006/relationships/ctrlProp" Target="../ctrlProps/ctrlProp168.xml"/><Relationship Id="rId18" Type="http://schemas.openxmlformats.org/officeDocument/2006/relationships/ctrlProp" Target="../ctrlProps/ctrlProp173.xml"/><Relationship Id="rId3" Type="http://schemas.openxmlformats.org/officeDocument/2006/relationships/vmlDrawing" Target="../drawings/vmlDrawing10.vml"/><Relationship Id="rId21" Type="http://schemas.openxmlformats.org/officeDocument/2006/relationships/ctrlProp" Target="../ctrlProps/ctrlProp176.xml"/><Relationship Id="rId7" Type="http://schemas.openxmlformats.org/officeDocument/2006/relationships/ctrlProp" Target="../ctrlProps/ctrlProp162.xml"/><Relationship Id="rId12" Type="http://schemas.openxmlformats.org/officeDocument/2006/relationships/ctrlProp" Target="../ctrlProps/ctrlProp167.xml"/><Relationship Id="rId17" Type="http://schemas.openxmlformats.org/officeDocument/2006/relationships/ctrlProp" Target="../ctrlProps/ctrlProp172.xml"/><Relationship Id="rId2" Type="http://schemas.openxmlformats.org/officeDocument/2006/relationships/drawing" Target="../drawings/drawing10.xml"/><Relationship Id="rId16" Type="http://schemas.openxmlformats.org/officeDocument/2006/relationships/ctrlProp" Target="../ctrlProps/ctrlProp171.xml"/><Relationship Id="rId20" Type="http://schemas.openxmlformats.org/officeDocument/2006/relationships/ctrlProp" Target="../ctrlProps/ctrlProp175.xml"/><Relationship Id="rId1" Type="http://schemas.openxmlformats.org/officeDocument/2006/relationships/printerSettings" Target="../printerSettings/printerSettings10.bin"/><Relationship Id="rId6" Type="http://schemas.openxmlformats.org/officeDocument/2006/relationships/ctrlProp" Target="../ctrlProps/ctrlProp161.xml"/><Relationship Id="rId11" Type="http://schemas.openxmlformats.org/officeDocument/2006/relationships/ctrlProp" Target="../ctrlProps/ctrlProp166.xml"/><Relationship Id="rId5" Type="http://schemas.openxmlformats.org/officeDocument/2006/relationships/ctrlProp" Target="../ctrlProps/ctrlProp160.xml"/><Relationship Id="rId15" Type="http://schemas.openxmlformats.org/officeDocument/2006/relationships/ctrlProp" Target="../ctrlProps/ctrlProp170.xml"/><Relationship Id="rId10" Type="http://schemas.openxmlformats.org/officeDocument/2006/relationships/ctrlProp" Target="../ctrlProps/ctrlProp165.xml"/><Relationship Id="rId19" Type="http://schemas.openxmlformats.org/officeDocument/2006/relationships/ctrlProp" Target="../ctrlProps/ctrlProp174.xml"/><Relationship Id="rId4" Type="http://schemas.openxmlformats.org/officeDocument/2006/relationships/ctrlProp" Target="../ctrlProps/ctrlProp159.xml"/><Relationship Id="rId9" Type="http://schemas.openxmlformats.org/officeDocument/2006/relationships/ctrlProp" Target="../ctrlProps/ctrlProp164.xml"/><Relationship Id="rId14" Type="http://schemas.openxmlformats.org/officeDocument/2006/relationships/ctrlProp" Target="../ctrlProps/ctrlProp169.xml"/></Relationships>
</file>

<file path=xl/worksheets/_rels/sheet11.xml.rels><?xml version="1.0" encoding="UTF-8" standalone="yes"?>
<Relationships xmlns="http://schemas.openxmlformats.org/package/2006/relationships"><Relationship Id="rId8" Type="http://schemas.openxmlformats.org/officeDocument/2006/relationships/ctrlProp" Target="../ctrlProps/ctrlProp181.xml"/><Relationship Id="rId13" Type="http://schemas.openxmlformats.org/officeDocument/2006/relationships/ctrlProp" Target="../ctrlProps/ctrlProp186.xml"/><Relationship Id="rId18" Type="http://schemas.openxmlformats.org/officeDocument/2006/relationships/ctrlProp" Target="../ctrlProps/ctrlProp191.xml"/><Relationship Id="rId3" Type="http://schemas.openxmlformats.org/officeDocument/2006/relationships/vmlDrawing" Target="../drawings/vmlDrawing11.vml"/><Relationship Id="rId21" Type="http://schemas.openxmlformats.org/officeDocument/2006/relationships/ctrlProp" Target="../ctrlProps/ctrlProp194.xml"/><Relationship Id="rId7" Type="http://schemas.openxmlformats.org/officeDocument/2006/relationships/ctrlProp" Target="../ctrlProps/ctrlProp180.xml"/><Relationship Id="rId12" Type="http://schemas.openxmlformats.org/officeDocument/2006/relationships/ctrlProp" Target="../ctrlProps/ctrlProp185.xml"/><Relationship Id="rId17" Type="http://schemas.openxmlformats.org/officeDocument/2006/relationships/ctrlProp" Target="../ctrlProps/ctrlProp190.xml"/><Relationship Id="rId2" Type="http://schemas.openxmlformats.org/officeDocument/2006/relationships/drawing" Target="../drawings/drawing11.xml"/><Relationship Id="rId16" Type="http://schemas.openxmlformats.org/officeDocument/2006/relationships/ctrlProp" Target="../ctrlProps/ctrlProp189.xml"/><Relationship Id="rId20" Type="http://schemas.openxmlformats.org/officeDocument/2006/relationships/ctrlProp" Target="../ctrlProps/ctrlProp193.xml"/><Relationship Id="rId1" Type="http://schemas.openxmlformats.org/officeDocument/2006/relationships/printerSettings" Target="../printerSettings/printerSettings11.bin"/><Relationship Id="rId6" Type="http://schemas.openxmlformats.org/officeDocument/2006/relationships/ctrlProp" Target="../ctrlProps/ctrlProp179.xml"/><Relationship Id="rId11" Type="http://schemas.openxmlformats.org/officeDocument/2006/relationships/ctrlProp" Target="../ctrlProps/ctrlProp184.xml"/><Relationship Id="rId5" Type="http://schemas.openxmlformats.org/officeDocument/2006/relationships/ctrlProp" Target="../ctrlProps/ctrlProp178.xml"/><Relationship Id="rId15" Type="http://schemas.openxmlformats.org/officeDocument/2006/relationships/ctrlProp" Target="../ctrlProps/ctrlProp188.xml"/><Relationship Id="rId10" Type="http://schemas.openxmlformats.org/officeDocument/2006/relationships/ctrlProp" Target="../ctrlProps/ctrlProp183.xml"/><Relationship Id="rId19" Type="http://schemas.openxmlformats.org/officeDocument/2006/relationships/ctrlProp" Target="../ctrlProps/ctrlProp192.xml"/><Relationship Id="rId4" Type="http://schemas.openxmlformats.org/officeDocument/2006/relationships/ctrlProp" Target="../ctrlProps/ctrlProp177.xml"/><Relationship Id="rId9" Type="http://schemas.openxmlformats.org/officeDocument/2006/relationships/ctrlProp" Target="../ctrlProps/ctrlProp182.xml"/><Relationship Id="rId14" Type="http://schemas.openxmlformats.org/officeDocument/2006/relationships/ctrlProp" Target="../ctrlProps/ctrlProp187.xml"/></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99.xml"/><Relationship Id="rId13" Type="http://schemas.openxmlformats.org/officeDocument/2006/relationships/ctrlProp" Target="../ctrlProps/ctrlProp204.xml"/><Relationship Id="rId18" Type="http://schemas.openxmlformats.org/officeDocument/2006/relationships/ctrlProp" Target="../ctrlProps/ctrlProp209.xml"/><Relationship Id="rId3" Type="http://schemas.openxmlformats.org/officeDocument/2006/relationships/vmlDrawing" Target="../drawings/vmlDrawing12.vml"/><Relationship Id="rId21" Type="http://schemas.openxmlformats.org/officeDocument/2006/relationships/ctrlProp" Target="../ctrlProps/ctrlProp212.xml"/><Relationship Id="rId7" Type="http://schemas.openxmlformats.org/officeDocument/2006/relationships/ctrlProp" Target="../ctrlProps/ctrlProp198.xml"/><Relationship Id="rId12" Type="http://schemas.openxmlformats.org/officeDocument/2006/relationships/ctrlProp" Target="../ctrlProps/ctrlProp203.xml"/><Relationship Id="rId17" Type="http://schemas.openxmlformats.org/officeDocument/2006/relationships/ctrlProp" Target="../ctrlProps/ctrlProp208.xml"/><Relationship Id="rId2" Type="http://schemas.openxmlformats.org/officeDocument/2006/relationships/drawing" Target="../drawings/drawing12.xml"/><Relationship Id="rId16" Type="http://schemas.openxmlformats.org/officeDocument/2006/relationships/ctrlProp" Target="../ctrlProps/ctrlProp207.xml"/><Relationship Id="rId20" Type="http://schemas.openxmlformats.org/officeDocument/2006/relationships/ctrlProp" Target="../ctrlProps/ctrlProp211.xml"/><Relationship Id="rId1" Type="http://schemas.openxmlformats.org/officeDocument/2006/relationships/printerSettings" Target="../printerSettings/printerSettings12.bin"/><Relationship Id="rId6" Type="http://schemas.openxmlformats.org/officeDocument/2006/relationships/ctrlProp" Target="../ctrlProps/ctrlProp197.xml"/><Relationship Id="rId11" Type="http://schemas.openxmlformats.org/officeDocument/2006/relationships/ctrlProp" Target="../ctrlProps/ctrlProp202.xml"/><Relationship Id="rId5" Type="http://schemas.openxmlformats.org/officeDocument/2006/relationships/ctrlProp" Target="../ctrlProps/ctrlProp196.xml"/><Relationship Id="rId15" Type="http://schemas.openxmlformats.org/officeDocument/2006/relationships/ctrlProp" Target="../ctrlProps/ctrlProp206.xml"/><Relationship Id="rId10" Type="http://schemas.openxmlformats.org/officeDocument/2006/relationships/ctrlProp" Target="../ctrlProps/ctrlProp201.xml"/><Relationship Id="rId19" Type="http://schemas.openxmlformats.org/officeDocument/2006/relationships/ctrlProp" Target="../ctrlProps/ctrlProp210.xml"/><Relationship Id="rId4" Type="http://schemas.openxmlformats.org/officeDocument/2006/relationships/ctrlProp" Target="../ctrlProps/ctrlProp195.xml"/><Relationship Id="rId9" Type="http://schemas.openxmlformats.org/officeDocument/2006/relationships/ctrlProp" Target="../ctrlProps/ctrlProp200.xml"/><Relationship Id="rId14" Type="http://schemas.openxmlformats.org/officeDocument/2006/relationships/ctrlProp" Target="../ctrlProps/ctrlProp20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17.xml"/><Relationship Id="rId13" Type="http://schemas.openxmlformats.org/officeDocument/2006/relationships/ctrlProp" Target="../ctrlProps/ctrlProp222.xml"/><Relationship Id="rId18" Type="http://schemas.openxmlformats.org/officeDocument/2006/relationships/ctrlProp" Target="../ctrlProps/ctrlProp227.xml"/><Relationship Id="rId3" Type="http://schemas.openxmlformats.org/officeDocument/2006/relationships/vmlDrawing" Target="../drawings/vmlDrawing13.vml"/><Relationship Id="rId21" Type="http://schemas.openxmlformats.org/officeDocument/2006/relationships/ctrlProp" Target="../ctrlProps/ctrlProp230.xml"/><Relationship Id="rId7" Type="http://schemas.openxmlformats.org/officeDocument/2006/relationships/ctrlProp" Target="../ctrlProps/ctrlProp216.xml"/><Relationship Id="rId12" Type="http://schemas.openxmlformats.org/officeDocument/2006/relationships/ctrlProp" Target="../ctrlProps/ctrlProp221.xml"/><Relationship Id="rId17" Type="http://schemas.openxmlformats.org/officeDocument/2006/relationships/ctrlProp" Target="../ctrlProps/ctrlProp226.xml"/><Relationship Id="rId2" Type="http://schemas.openxmlformats.org/officeDocument/2006/relationships/drawing" Target="../drawings/drawing13.xml"/><Relationship Id="rId16" Type="http://schemas.openxmlformats.org/officeDocument/2006/relationships/ctrlProp" Target="../ctrlProps/ctrlProp225.xml"/><Relationship Id="rId20" Type="http://schemas.openxmlformats.org/officeDocument/2006/relationships/ctrlProp" Target="../ctrlProps/ctrlProp229.xml"/><Relationship Id="rId1" Type="http://schemas.openxmlformats.org/officeDocument/2006/relationships/printerSettings" Target="../printerSettings/printerSettings13.bin"/><Relationship Id="rId6" Type="http://schemas.openxmlformats.org/officeDocument/2006/relationships/ctrlProp" Target="../ctrlProps/ctrlProp215.xml"/><Relationship Id="rId11" Type="http://schemas.openxmlformats.org/officeDocument/2006/relationships/ctrlProp" Target="../ctrlProps/ctrlProp220.xml"/><Relationship Id="rId5" Type="http://schemas.openxmlformats.org/officeDocument/2006/relationships/ctrlProp" Target="../ctrlProps/ctrlProp214.xml"/><Relationship Id="rId15" Type="http://schemas.openxmlformats.org/officeDocument/2006/relationships/ctrlProp" Target="../ctrlProps/ctrlProp224.xml"/><Relationship Id="rId10" Type="http://schemas.openxmlformats.org/officeDocument/2006/relationships/ctrlProp" Target="../ctrlProps/ctrlProp219.xml"/><Relationship Id="rId19" Type="http://schemas.openxmlformats.org/officeDocument/2006/relationships/ctrlProp" Target="../ctrlProps/ctrlProp228.xml"/><Relationship Id="rId4" Type="http://schemas.openxmlformats.org/officeDocument/2006/relationships/ctrlProp" Target="../ctrlProps/ctrlProp213.xml"/><Relationship Id="rId9" Type="http://schemas.openxmlformats.org/officeDocument/2006/relationships/ctrlProp" Target="../ctrlProps/ctrlProp218.xml"/><Relationship Id="rId14" Type="http://schemas.openxmlformats.org/officeDocument/2006/relationships/ctrlProp" Target="../ctrlProps/ctrlProp223.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235.xml"/><Relationship Id="rId13" Type="http://schemas.openxmlformats.org/officeDocument/2006/relationships/ctrlProp" Target="../ctrlProps/ctrlProp240.xml"/><Relationship Id="rId18" Type="http://schemas.openxmlformats.org/officeDocument/2006/relationships/ctrlProp" Target="../ctrlProps/ctrlProp245.xml"/><Relationship Id="rId3" Type="http://schemas.openxmlformats.org/officeDocument/2006/relationships/vmlDrawing" Target="../drawings/vmlDrawing14.vml"/><Relationship Id="rId21" Type="http://schemas.openxmlformats.org/officeDocument/2006/relationships/ctrlProp" Target="../ctrlProps/ctrlProp248.xml"/><Relationship Id="rId7" Type="http://schemas.openxmlformats.org/officeDocument/2006/relationships/ctrlProp" Target="../ctrlProps/ctrlProp234.xml"/><Relationship Id="rId12" Type="http://schemas.openxmlformats.org/officeDocument/2006/relationships/ctrlProp" Target="../ctrlProps/ctrlProp239.xml"/><Relationship Id="rId17" Type="http://schemas.openxmlformats.org/officeDocument/2006/relationships/ctrlProp" Target="../ctrlProps/ctrlProp244.xml"/><Relationship Id="rId2" Type="http://schemas.openxmlformats.org/officeDocument/2006/relationships/drawing" Target="../drawings/drawing14.xml"/><Relationship Id="rId16" Type="http://schemas.openxmlformats.org/officeDocument/2006/relationships/ctrlProp" Target="../ctrlProps/ctrlProp243.xml"/><Relationship Id="rId20" Type="http://schemas.openxmlformats.org/officeDocument/2006/relationships/ctrlProp" Target="../ctrlProps/ctrlProp247.xml"/><Relationship Id="rId1" Type="http://schemas.openxmlformats.org/officeDocument/2006/relationships/printerSettings" Target="../printerSettings/printerSettings14.bin"/><Relationship Id="rId6" Type="http://schemas.openxmlformats.org/officeDocument/2006/relationships/ctrlProp" Target="../ctrlProps/ctrlProp233.xml"/><Relationship Id="rId11" Type="http://schemas.openxmlformats.org/officeDocument/2006/relationships/ctrlProp" Target="../ctrlProps/ctrlProp238.xml"/><Relationship Id="rId5" Type="http://schemas.openxmlformats.org/officeDocument/2006/relationships/ctrlProp" Target="../ctrlProps/ctrlProp232.xml"/><Relationship Id="rId15" Type="http://schemas.openxmlformats.org/officeDocument/2006/relationships/ctrlProp" Target="../ctrlProps/ctrlProp242.xml"/><Relationship Id="rId10" Type="http://schemas.openxmlformats.org/officeDocument/2006/relationships/ctrlProp" Target="../ctrlProps/ctrlProp237.xml"/><Relationship Id="rId19" Type="http://schemas.openxmlformats.org/officeDocument/2006/relationships/ctrlProp" Target="../ctrlProps/ctrlProp246.xml"/><Relationship Id="rId4" Type="http://schemas.openxmlformats.org/officeDocument/2006/relationships/ctrlProp" Target="../ctrlProps/ctrlProp231.xml"/><Relationship Id="rId9" Type="http://schemas.openxmlformats.org/officeDocument/2006/relationships/ctrlProp" Target="../ctrlProps/ctrlProp236.xml"/><Relationship Id="rId14" Type="http://schemas.openxmlformats.org/officeDocument/2006/relationships/ctrlProp" Target="../ctrlProps/ctrlProp241.xml"/></Relationships>
</file>

<file path=xl/worksheets/_rels/sheet15.xml.rels><?xml version="1.0" encoding="UTF-8" standalone="yes"?>
<Relationships xmlns="http://schemas.openxmlformats.org/package/2006/relationships"><Relationship Id="rId8" Type="http://schemas.openxmlformats.org/officeDocument/2006/relationships/ctrlProp" Target="../ctrlProps/ctrlProp253.xml"/><Relationship Id="rId13" Type="http://schemas.openxmlformats.org/officeDocument/2006/relationships/ctrlProp" Target="../ctrlProps/ctrlProp258.xml"/><Relationship Id="rId18" Type="http://schemas.openxmlformats.org/officeDocument/2006/relationships/ctrlProp" Target="../ctrlProps/ctrlProp263.xml"/><Relationship Id="rId3" Type="http://schemas.openxmlformats.org/officeDocument/2006/relationships/vmlDrawing" Target="../drawings/vmlDrawing15.vml"/><Relationship Id="rId21" Type="http://schemas.openxmlformats.org/officeDocument/2006/relationships/ctrlProp" Target="../ctrlProps/ctrlProp266.xml"/><Relationship Id="rId7" Type="http://schemas.openxmlformats.org/officeDocument/2006/relationships/ctrlProp" Target="../ctrlProps/ctrlProp252.xml"/><Relationship Id="rId12" Type="http://schemas.openxmlformats.org/officeDocument/2006/relationships/ctrlProp" Target="../ctrlProps/ctrlProp257.xml"/><Relationship Id="rId17" Type="http://schemas.openxmlformats.org/officeDocument/2006/relationships/ctrlProp" Target="../ctrlProps/ctrlProp262.xml"/><Relationship Id="rId2" Type="http://schemas.openxmlformats.org/officeDocument/2006/relationships/drawing" Target="../drawings/drawing15.xml"/><Relationship Id="rId16" Type="http://schemas.openxmlformats.org/officeDocument/2006/relationships/ctrlProp" Target="../ctrlProps/ctrlProp261.xml"/><Relationship Id="rId20" Type="http://schemas.openxmlformats.org/officeDocument/2006/relationships/ctrlProp" Target="../ctrlProps/ctrlProp265.xml"/><Relationship Id="rId1" Type="http://schemas.openxmlformats.org/officeDocument/2006/relationships/printerSettings" Target="../printerSettings/printerSettings15.bin"/><Relationship Id="rId6" Type="http://schemas.openxmlformats.org/officeDocument/2006/relationships/ctrlProp" Target="../ctrlProps/ctrlProp251.xml"/><Relationship Id="rId11" Type="http://schemas.openxmlformats.org/officeDocument/2006/relationships/ctrlProp" Target="../ctrlProps/ctrlProp256.xml"/><Relationship Id="rId5" Type="http://schemas.openxmlformats.org/officeDocument/2006/relationships/ctrlProp" Target="../ctrlProps/ctrlProp250.xml"/><Relationship Id="rId15" Type="http://schemas.openxmlformats.org/officeDocument/2006/relationships/ctrlProp" Target="../ctrlProps/ctrlProp260.xml"/><Relationship Id="rId10" Type="http://schemas.openxmlformats.org/officeDocument/2006/relationships/ctrlProp" Target="../ctrlProps/ctrlProp255.xml"/><Relationship Id="rId19" Type="http://schemas.openxmlformats.org/officeDocument/2006/relationships/ctrlProp" Target="../ctrlProps/ctrlProp264.xml"/><Relationship Id="rId4" Type="http://schemas.openxmlformats.org/officeDocument/2006/relationships/ctrlProp" Target="../ctrlProps/ctrlProp249.xml"/><Relationship Id="rId9" Type="http://schemas.openxmlformats.org/officeDocument/2006/relationships/ctrlProp" Target="../ctrlProps/ctrlProp254.xml"/><Relationship Id="rId14" Type="http://schemas.openxmlformats.org/officeDocument/2006/relationships/ctrlProp" Target="../ctrlProps/ctrlProp25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22"/>
  <sheetViews>
    <sheetView zoomScale="70" zoomScaleNormal="70" workbookViewId="0">
      <selection activeCell="D29" sqref="D29:L29"/>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78">
        <v>46078</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227</v>
      </c>
      <c r="E22" s="118"/>
      <c r="F22" s="118"/>
      <c r="G22" s="118"/>
      <c r="H22" s="118"/>
      <c r="I22" s="118"/>
      <c r="J22" s="118"/>
      <c r="K22" s="118"/>
      <c r="L22" s="119"/>
    </row>
    <row r="23" spans="2:12" ht="27" customHeight="1" thickBot="1" x14ac:dyDescent="0.3">
      <c r="B23" s="99"/>
      <c r="C23" s="48" t="s">
        <v>102</v>
      </c>
      <c r="D23" s="120" t="s">
        <v>159</v>
      </c>
      <c r="E23" s="121"/>
      <c r="F23" s="121"/>
      <c r="G23" s="121"/>
      <c r="H23" s="121"/>
      <c r="I23" s="121"/>
      <c r="J23" s="121"/>
      <c r="K23" s="121"/>
      <c r="L23" s="122"/>
    </row>
    <row r="24" spans="2:12" ht="27" customHeight="1" thickBot="1" x14ac:dyDescent="0.3">
      <c r="B24" s="99"/>
      <c r="C24" s="49" t="s">
        <v>103</v>
      </c>
      <c r="D24" s="123" t="s">
        <v>160</v>
      </c>
      <c r="E24" s="124"/>
      <c r="F24" s="124"/>
      <c r="G24" s="124"/>
      <c r="H24" s="124"/>
      <c r="I24" s="124"/>
      <c r="J24" s="124"/>
      <c r="K24" s="124"/>
      <c r="L24" s="125"/>
    </row>
    <row r="25" spans="2:12" ht="27" customHeight="1" thickBot="1" x14ac:dyDescent="0.3">
      <c r="B25" s="99"/>
      <c r="C25" s="47" t="s">
        <v>104</v>
      </c>
      <c r="D25" s="120" t="s">
        <v>161</v>
      </c>
      <c r="E25" s="121"/>
      <c r="F25" s="121"/>
      <c r="G25" s="121"/>
      <c r="H25" s="121"/>
      <c r="I25" s="121"/>
      <c r="J25" s="121"/>
      <c r="K25" s="121"/>
      <c r="L25" s="122"/>
    </row>
    <row r="26" spans="2:12" ht="27" customHeight="1" thickBot="1" x14ac:dyDescent="0.3">
      <c r="B26" s="99"/>
      <c r="C26" s="50" t="s">
        <v>105</v>
      </c>
      <c r="D26" s="126" t="s">
        <v>162</v>
      </c>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t="s">
        <v>225</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t="s">
        <v>163</v>
      </c>
      <c r="D36" s="18" t="s">
        <v>203</v>
      </c>
      <c r="E36" s="19"/>
      <c r="F36" s="17"/>
      <c r="G36" s="19">
        <v>18</v>
      </c>
      <c r="H36" s="20">
        <v>38789</v>
      </c>
      <c r="I36" s="45">
        <v>35</v>
      </c>
      <c r="J36" s="52" t="s">
        <v>9</v>
      </c>
      <c r="K36" s="72">
        <f>ROUND(H36*(1-I36/100),2)</f>
        <v>25212.85</v>
      </c>
      <c r="L36" s="73">
        <f t="shared" ref="L36:L37" si="0">K36*G36</f>
        <v>453831.3</v>
      </c>
    </row>
    <row r="37" spans="3:12" ht="27" customHeight="1" x14ac:dyDescent="0.3">
      <c r="C37" s="17" t="s">
        <v>165</v>
      </c>
      <c r="D37" s="18" t="s">
        <v>166</v>
      </c>
      <c r="E37" s="19"/>
      <c r="F37" s="17"/>
      <c r="G37" s="19">
        <v>16</v>
      </c>
      <c r="H37" s="20">
        <v>17845</v>
      </c>
      <c r="I37" s="45">
        <v>35</v>
      </c>
      <c r="J37" s="52" t="s">
        <v>9</v>
      </c>
      <c r="K37" s="72">
        <f t="shared" ref="K37" si="1">ROUND(H37*(1-I37/100),2)</f>
        <v>11599.25</v>
      </c>
      <c r="L37" s="73">
        <f t="shared" si="0"/>
        <v>185588</v>
      </c>
    </row>
    <row r="38" spans="3:12" ht="27" customHeight="1" x14ac:dyDescent="0.35">
      <c r="D38" s="15"/>
      <c r="E38" s="15"/>
      <c r="F38" s="15"/>
      <c r="G38" s="16">
        <f>SUM(G36+G37)</f>
        <v>34</v>
      </c>
      <c r="H38" s="6"/>
      <c r="I38" s="6"/>
      <c r="J38" s="15"/>
      <c r="K38" s="42" t="s">
        <v>10</v>
      </c>
      <c r="L38" s="74">
        <f>SUM(L36:L37)</f>
        <v>639419.30000000005</v>
      </c>
    </row>
    <row r="39" spans="3:12" ht="27" customHeight="1" x14ac:dyDescent="0.35">
      <c r="C39" s="25" t="s">
        <v>149</v>
      </c>
      <c r="D39" s="15"/>
      <c r="E39" s="15"/>
      <c r="F39" s="15"/>
      <c r="G39" s="15"/>
      <c r="H39" s="15"/>
      <c r="I39" s="15"/>
      <c r="J39" s="15"/>
      <c r="K39" s="42" t="s">
        <v>11</v>
      </c>
      <c r="L39" s="75">
        <f>L38*20/100</f>
        <v>127883.86</v>
      </c>
    </row>
    <row r="40" spans="3:12" ht="27" customHeight="1" x14ac:dyDescent="0.35">
      <c r="C40" s="26" t="s">
        <v>218</v>
      </c>
      <c r="D40" s="26"/>
      <c r="E40" s="26" t="s">
        <v>222</v>
      </c>
      <c r="F40" s="26"/>
      <c r="G40" s="26"/>
      <c r="H40" s="26"/>
      <c r="I40" s="26"/>
      <c r="J40" s="26"/>
      <c r="K40" s="42" t="s">
        <v>13</v>
      </c>
      <c r="L40" s="74">
        <f>L39+L38</f>
        <v>767303.16</v>
      </c>
    </row>
    <row r="41" spans="3:12" ht="27" customHeight="1" x14ac:dyDescent="0.35">
      <c r="C41" s="26" t="s">
        <v>219</v>
      </c>
      <c r="D41" s="26"/>
      <c r="E41" s="26" t="s">
        <v>223</v>
      </c>
      <c r="F41" s="26"/>
      <c r="G41" s="26"/>
      <c r="H41" s="26"/>
      <c r="I41" s="26"/>
      <c r="J41" s="26"/>
      <c r="K41" s="27"/>
      <c r="L41" s="28"/>
    </row>
    <row r="42" spans="3:12" ht="27" customHeight="1" x14ac:dyDescent="0.35">
      <c r="C42" s="26" t="s">
        <v>220</v>
      </c>
      <c r="D42" s="26"/>
      <c r="E42" s="26" t="s">
        <v>224</v>
      </c>
      <c r="F42" s="26"/>
      <c r="G42" s="26"/>
      <c r="H42" s="26"/>
      <c r="I42" s="26"/>
      <c r="J42" s="26"/>
      <c r="K42" s="27"/>
      <c r="L42" s="28"/>
    </row>
    <row r="43" spans="3:12" ht="27" customHeight="1" x14ac:dyDescent="0.35">
      <c r="C43" s="26" t="s">
        <v>221</v>
      </c>
      <c r="D43" s="26"/>
      <c r="E43" s="26"/>
      <c r="F43" s="26"/>
      <c r="G43" s="26"/>
      <c r="H43" s="26"/>
      <c r="I43" s="26"/>
      <c r="J43" s="26"/>
      <c r="K43" s="27"/>
      <c r="L43" s="28"/>
    </row>
    <row r="44" spans="3:12" ht="27" customHeight="1" x14ac:dyDescent="0.35">
      <c r="C44" s="26"/>
      <c r="D44" s="26"/>
      <c r="E44" s="26"/>
      <c r="F44" s="26"/>
      <c r="G44" s="26"/>
      <c r="H44" s="26"/>
      <c r="I44" s="26"/>
      <c r="J44" s="26"/>
      <c r="K44" s="27"/>
      <c r="L44" s="28"/>
    </row>
    <row r="45" spans="3:12" ht="27" customHeight="1" x14ac:dyDescent="0.25">
      <c r="C45" s="111" t="s">
        <v>16</v>
      </c>
      <c r="D45" s="111"/>
      <c r="E45" s="111"/>
      <c r="F45" s="111"/>
      <c r="G45" s="111"/>
      <c r="H45" s="111"/>
      <c r="I45" s="111"/>
      <c r="J45" s="111"/>
      <c r="K45" s="111"/>
      <c r="L45" s="112"/>
    </row>
    <row r="46" spans="3:12" ht="27" customHeight="1" x14ac:dyDescent="0.25">
      <c r="C46" s="51" t="s">
        <v>1</v>
      </c>
      <c r="D46" s="51" t="s">
        <v>2</v>
      </c>
      <c r="E46" s="51" t="s">
        <v>3</v>
      </c>
      <c r="F46" s="51" t="s">
        <v>4</v>
      </c>
      <c r="G46" s="51" t="s">
        <v>5</v>
      </c>
      <c r="H46" s="51" t="s">
        <v>133</v>
      </c>
      <c r="I46" s="51" t="s">
        <v>134</v>
      </c>
      <c r="J46" s="51" t="s">
        <v>6</v>
      </c>
      <c r="K46" s="51" t="s">
        <v>7</v>
      </c>
      <c r="L46" s="51" t="s">
        <v>8</v>
      </c>
    </row>
    <row r="47" spans="3:12" ht="27" customHeight="1" x14ac:dyDescent="0.3">
      <c r="C47" s="17" t="s">
        <v>167</v>
      </c>
      <c r="D47" s="18" t="s">
        <v>169</v>
      </c>
      <c r="E47" s="19" t="s">
        <v>170</v>
      </c>
      <c r="F47" s="17"/>
      <c r="G47" s="19">
        <v>148</v>
      </c>
      <c r="H47" s="20">
        <v>7556</v>
      </c>
      <c r="I47" s="45">
        <v>30</v>
      </c>
      <c r="J47" s="52" t="s">
        <v>9</v>
      </c>
      <c r="K47" s="72">
        <f>ROUND(H47*(1-I47/100),2)</f>
        <v>5289.2</v>
      </c>
      <c r="L47" s="73">
        <f t="shared" ref="L47:L49" si="2">K47*G47</f>
        <v>782801.6</v>
      </c>
    </row>
    <row r="48" spans="3:12" ht="27" customHeight="1" x14ac:dyDescent="0.3">
      <c r="C48" s="17" t="s">
        <v>168</v>
      </c>
      <c r="D48" s="18" t="s">
        <v>171</v>
      </c>
      <c r="E48" s="19"/>
      <c r="F48" s="17"/>
      <c r="G48" s="19">
        <v>36</v>
      </c>
      <c r="H48" s="20">
        <v>775.98</v>
      </c>
      <c r="I48" s="45">
        <v>30</v>
      </c>
      <c r="J48" s="52" t="s">
        <v>9</v>
      </c>
      <c r="K48" s="72">
        <f t="shared" ref="K48:K49" si="3">ROUND(H48*(1-I48/100),2)</f>
        <v>543.19000000000005</v>
      </c>
      <c r="L48" s="73">
        <f t="shared" si="2"/>
        <v>19554.840000000004</v>
      </c>
    </row>
    <row r="49" spans="3:12" ht="27" customHeight="1" x14ac:dyDescent="0.3">
      <c r="C49" s="17" t="s">
        <v>200</v>
      </c>
      <c r="D49" s="18" t="s">
        <v>201</v>
      </c>
      <c r="E49" s="19"/>
      <c r="F49" s="17"/>
      <c r="G49" s="19">
        <v>690</v>
      </c>
      <c r="H49" s="20">
        <v>244</v>
      </c>
      <c r="I49" s="45">
        <v>30</v>
      </c>
      <c r="J49" s="52" t="s">
        <v>9</v>
      </c>
      <c r="K49" s="72">
        <f t="shared" si="3"/>
        <v>170.8</v>
      </c>
      <c r="L49" s="73">
        <f t="shared" si="2"/>
        <v>117852.00000000001</v>
      </c>
    </row>
    <row r="50" spans="3:12" ht="27" customHeight="1" x14ac:dyDescent="0.35">
      <c r="D50" s="15"/>
      <c r="E50" s="15"/>
      <c r="F50" s="15"/>
      <c r="G50" s="16">
        <f>SUM(G47+G48+G49)</f>
        <v>874</v>
      </c>
      <c r="H50" s="6"/>
      <c r="I50" s="6"/>
      <c r="J50" s="15"/>
      <c r="K50" s="42" t="s">
        <v>10</v>
      </c>
      <c r="L50" s="74">
        <f>SUM(L47:L49)</f>
        <v>920208.44</v>
      </c>
    </row>
    <row r="51" spans="3:12" ht="27" customHeight="1" x14ac:dyDescent="0.35">
      <c r="C51" s="25" t="s">
        <v>150</v>
      </c>
      <c r="D51" s="15"/>
      <c r="E51" s="15"/>
      <c r="F51" s="15"/>
      <c r="G51" s="15"/>
      <c r="H51" s="15"/>
      <c r="I51" s="15"/>
      <c r="J51" s="15"/>
      <c r="K51" s="42" t="s">
        <v>11</v>
      </c>
      <c r="L51" s="75">
        <f>L50*20/100</f>
        <v>184041.68799999997</v>
      </c>
    </row>
    <row r="52" spans="3:12" ht="27" customHeight="1" x14ac:dyDescent="0.35">
      <c r="C52" s="26" t="s">
        <v>213</v>
      </c>
      <c r="D52" s="26"/>
      <c r="E52" s="26"/>
      <c r="F52" s="26"/>
      <c r="G52" s="26"/>
      <c r="H52" s="26"/>
      <c r="I52" s="26"/>
      <c r="J52" s="26"/>
      <c r="K52" s="42" t="s">
        <v>13</v>
      </c>
      <c r="L52" s="74">
        <f>L51+L50</f>
        <v>1104250.128</v>
      </c>
    </row>
    <row r="53" spans="3:12" ht="27" customHeight="1" x14ac:dyDescent="0.35">
      <c r="C53" s="26" t="s">
        <v>18</v>
      </c>
      <c r="D53" s="26"/>
      <c r="E53" s="26"/>
      <c r="F53" s="26"/>
      <c r="G53" s="26"/>
      <c r="H53" s="26"/>
      <c r="I53" s="26"/>
      <c r="J53" s="26"/>
      <c r="K53" s="27"/>
      <c r="L53" s="28"/>
    </row>
    <row r="54" spans="3:12" ht="27" customHeight="1" x14ac:dyDescent="0.35">
      <c r="C54" s="26" t="s">
        <v>19</v>
      </c>
      <c r="D54" s="26"/>
      <c r="E54" s="26"/>
      <c r="F54" s="26"/>
      <c r="G54" s="26"/>
      <c r="H54" s="26"/>
      <c r="I54" s="26"/>
      <c r="J54" s="26"/>
      <c r="K54" s="27"/>
      <c r="L54" s="28"/>
    </row>
    <row r="55" spans="3:12" ht="27" customHeight="1" x14ac:dyDescent="0.35">
      <c r="C55" s="26" t="s">
        <v>20</v>
      </c>
      <c r="D55" s="26"/>
      <c r="E55" s="26"/>
      <c r="F55" s="26"/>
      <c r="G55" s="26"/>
      <c r="H55" s="26"/>
      <c r="I55" s="26"/>
      <c r="J55" s="26"/>
      <c r="K55" s="27"/>
      <c r="L55" s="28"/>
    </row>
    <row r="56" spans="3:12" ht="27" customHeight="1" x14ac:dyDescent="0.35">
      <c r="D56" s="26"/>
      <c r="E56" s="26"/>
      <c r="F56" s="26"/>
      <c r="G56" s="26"/>
      <c r="H56" s="26"/>
      <c r="I56" s="26"/>
      <c r="J56" s="26"/>
      <c r="K56" s="27"/>
      <c r="L56" s="28"/>
    </row>
    <row r="57" spans="3:12" ht="27" customHeight="1" x14ac:dyDescent="0.25">
      <c r="C57" s="111" t="s">
        <v>21</v>
      </c>
      <c r="D57" s="111"/>
      <c r="E57" s="111"/>
      <c r="F57" s="111"/>
      <c r="G57" s="111"/>
      <c r="H57" s="111"/>
      <c r="I57" s="111"/>
      <c r="J57" s="111"/>
      <c r="K57" s="111"/>
      <c r="L57" s="112"/>
    </row>
    <row r="58" spans="3:12" ht="27" customHeight="1" x14ac:dyDescent="0.25">
      <c r="C58" s="51" t="s">
        <v>1</v>
      </c>
      <c r="D58" s="51" t="s">
        <v>2</v>
      </c>
      <c r="E58" s="51" t="s">
        <v>69</v>
      </c>
      <c r="F58" s="51" t="s">
        <v>70</v>
      </c>
      <c r="G58" s="51" t="s">
        <v>5</v>
      </c>
      <c r="H58" s="51" t="s">
        <v>133</v>
      </c>
      <c r="I58" s="51" t="s">
        <v>134</v>
      </c>
      <c r="J58" s="51" t="s">
        <v>6</v>
      </c>
      <c r="K58" s="51" t="s">
        <v>7</v>
      </c>
      <c r="L58" s="51" t="s">
        <v>8</v>
      </c>
    </row>
    <row r="59" spans="3:12" ht="27" customHeight="1" x14ac:dyDescent="0.3">
      <c r="C59" s="17" t="s">
        <v>172</v>
      </c>
      <c r="D59" s="18" t="s">
        <v>173</v>
      </c>
      <c r="E59" s="19" t="s">
        <v>174</v>
      </c>
      <c r="F59" s="17" t="s">
        <v>175</v>
      </c>
      <c r="G59" s="19">
        <v>293</v>
      </c>
      <c r="H59" s="20">
        <v>13589.8</v>
      </c>
      <c r="I59" s="45">
        <v>30</v>
      </c>
      <c r="J59" s="52" t="s">
        <v>71</v>
      </c>
      <c r="K59" s="72">
        <f>ROUND(H59*(1-I59/100),2)</f>
        <v>9512.86</v>
      </c>
      <c r="L59" s="73">
        <f t="shared" ref="L59" si="4">K59*G59</f>
        <v>2787267.98</v>
      </c>
    </row>
    <row r="60" spans="3:12" ht="27" customHeight="1" x14ac:dyDescent="0.35">
      <c r="D60" s="15"/>
      <c r="E60" s="15"/>
      <c r="F60" s="15"/>
      <c r="G60" s="16">
        <f>G59</f>
        <v>293</v>
      </c>
      <c r="H60" s="6"/>
      <c r="I60" s="6"/>
      <c r="J60" s="15"/>
      <c r="K60" s="42" t="s">
        <v>10</v>
      </c>
      <c r="L60" s="74">
        <f>SUM(L59:L59)</f>
        <v>2787267.98</v>
      </c>
    </row>
    <row r="61" spans="3:12" ht="27" customHeight="1" x14ac:dyDescent="0.35">
      <c r="C61" s="25" t="s">
        <v>151</v>
      </c>
      <c r="D61" s="15"/>
      <c r="E61" s="15"/>
      <c r="F61" s="15"/>
      <c r="G61" s="15"/>
      <c r="H61" s="15"/>
      <c r="I61" s="15"/>
      <c r="J61" s="15"/>
      <c r="K61" s="42" t="s">
        <v>22</v>
      </c>
      <c r="L61" s="75">
        <f>L60*10/100</f>
        <v>278726.79800000001</v>
      </c>
    </row>
    <row r="62" spans="3:12" ht="27" customHeight="1" x14ac:dyDescent="0.35">
      <c r="C62" s="26" t="s">
        <v>23</v>
      </c>
      <c r="D62" s="26" t="s">
        <v>24</v>
      </c>
      <c r="E62" s="26" t="s">
        <v>58</v>
      </c>
      <c r="F62" s="26"/>
      <c r="G62" s="26"/>
      <c r="H62" s="26"/>
      <c r="I62" s="26"/>
      <c r="J62" s="26"/>
      <c r="K62" s="42" t="s">
        <v>13</v>
      </c>
      <c r="L62" s="74">
        <f>L61+L60</f>
        <v>3065994.7779999999</v>
      </c>
    </row>
    <row r="63" spans="3:12" ht="27" customHeight="1" x14ac:dyDescent="0.35">
      <c r="C63" s="26" t="s">
        <v>210</v>
      </c>
      <c r="E63" s="26" t="s">
        <v>214</v>
      </c>
      <c r="F63" s="26"/>
      <c r="G63" s="26"/>
      <c r="H63" s="26"/>
      <c r="I63" s="26"/>
      <c r="J63" s="26"/>
      <c r="K63" s="27"/>
      <c r="L63" s="28"/>
    </row>
    <row r="64" spans="3:12" ht="27" customHeight="1" x14ac:dyDescent="0.35">
      <c r="C64" s="26" t="s">
        <v>52</v>
      </c>
      <c r="E64" s="26" t="s">
        <v>211</v>
      </c>
      <c r="F64" s="26"/>
      <c r="G64" s="26"/>
      <c r="H64" s="26"/>
      <c r="I64" s="26"/>
      <c r="J64" s="26"/>
      <c r="K64" s="27"/>
      <c r="L64" s="28"/>
    </row>
    <row r="65" spans="3:12" ht="27" customHeight="1" x14ac:dyDescent="0.35">
      <c r="C65" s="26" t="s">
        <v>212</v>
      </c>
      <c r="D65" s="26"/>
      <c r="E65" s="26" t="s">
        <v>215</v>
      </c>
      <c r="F65" s="26"/>
      <c r="G65" s="26"/>
      <c r="H65" s="26"/>
      <c r="I65" s="26"/>
      <c r="J65" s="26"/>
      <c r="K65" s="27"/>
      <c r="L65" s="28"/>
    </row>
    <row r="66" spans="3:12" ht="27" customHeight="1" x14ac:dyDescent="0.35">
      <c r="C66" s="26" t="s">
        <v>216</v>
      </c>
      <c r="D66" s="26"/>
      <c r="E66" s="26"/>
      <c r="F66" s="26"/>
      <c r="G66" s="26"/>
      <c r="H66" s="26"/>
      <c r="I66" s="26"/>
      <c r="J66" s="26"/>
      <c r="K66" s="27"/>
      <c r="L66" s="28"/>
    </row>
    <row r="67" spans="3:12" ht="27" customHeight="1" x14ac:dyDescent="0.35">
      <c r="C67" s="26"/>
      <c r="D67" s="26"/>
      <c r="E67" s="26"/>
      <c r="F67" s="26"/>
      <c r="G67" s="26"/>
      <c r="H67" s="26"/>
      <c r="I67" s="26"/>
      <c r="J67" s="26"/>
      <c r="K67" s="27"/>
      <c r="L67" s="28"/>
    </row>
    <row r="68" spans="3:12" ht="27" customHeight="1" x14ac:dyDescent="0.25">
      <c r="C68" s="111" t="s">
        <v>72</v>
      </c>
      <c r="D68" s="111"/>
      <c r="E68" s="111"/>
      <c r="F68" s="111"/>
      <c r="G68" s="111"/>
      <c r="H68" s="111"/>
      <c r="I68" s="111"/>
      <c r="J68" s="111"/>
      <c r="K68" s="111"/>
      <c r="L68" s="112"/>
    </row>
    <row r="69" spans="3:12" ht="27" customHeight="1" x14ac:dyDescent="0.25">
      <c r="C69" s="51" t="s">
        <v>1</v>
      </c>
      <c r="D69" s="51" t="s">
        <v>2</v>
      </c>
      <c r="E69" s="51" t="s">
        <v>69</v>
      </c>
      <c r="F69" s="51" t="s">
        <v>70</v>
      </c>
      <c r="G69" s="51" t="s">
        <v>5</v>
      </c>
      <c r="H69" s="51" t="s">
        <v>133</v>
      </c>
      <c r="I69" s="51" t="s">
        <v>134</v>
      </c>
      <c r="J69" s="51" t="s">
        <v>6</v>
      </c>
      <c r="K69" s="51" t="s">
        <v>7</v>
      </c>
      <c r="L69" s="51" t="s">
        <v>8</v>
      </c>
    </row>
    <row r="70" spans="3:12" ht="27" customHeight="1" x14ac:dyDescent="0.3">
      <c r="C70" s="17" t="s">
        <v>176</v>
      </c>
      <c r="D70" s="18" t="s">
        <v>178</v>
      </c>
      <c r="E70" s="19"/>
      <c r="F70" s="17" t="s">
        <v>181</v>
      </c>
      <c r="G70" s="19">
        <v>59</v>
      </c>
      <c r="H70" s="20">
        <v>13990</v>
      </c>
      <c r="I70" s="45">
        <v>30</v>
      </c>
      <c r="J70" s="52" t="s">
        <v>73</v>
      </c>
      <c r="K70" s="72">
        <f>ROUND(H70*(1-I70/100),2)</f>
        <v>9793</v>
      </c>
      <c r="L70" s="73">
        <f t="shared" ref="L70:L72" si="5">K70*G70</f>
        <v>577787</v>
      </c>
    </row>
    <row r="71" spans="3:12" ht="27" customHeight="1" x14ac:dyDescent="0.3">
      <c r="C71" s="17" t="s">
        <v>177</v>
      </c>
      <c r="D71" s="18" t="s">
        <v>179</v>
      </c>
      <c r="E71" s="19"/>
      <c r="F71" s="17" t="s">
        <v>181</v>
      </c>
      <c r="G71" s="19">
        <v>84</v>
      </c>
      <c r="H71" s="20">
        <v>17487.400000000001</v>
      </c>
      <c r="I71" s="45">
        <v>30</v>
      </c>
      <c r="J71" s="52" t="s">
        <v>73</v>
      </c>
      <c r="K71" s="72">
        <f t="shared" ref="K71:K72" si="6">ROUND(H71*(1-I71/100),2)</f>
        <v>12241.18</v>
      </c>
      <c r="L71" s="73">
        <f t="shared" si="5"/>
        <v>1028259.12</v>
      </c>
    </row>
    <row r="72" spans="3:12" ht="27" customHeight="1" x14ac:dyDescent="0.3">
      <c r="C72" s="17" t="s">
        <v>177</v>
      </c>
      <c r="D72" s="18" t="s">
        <v>180</v>
      </c>
      <c r="E72" s="19"/>
      <c r="F72" s="17" t="s">
        <v>181</v>
      </c>
      <c r="G72" s="19">
        <v>32</v>
      </c>
      <c r="H72" s="20">
        <v>17487.400000000001</v>
      </c>
      <c r="I72" s="45">
        <v>30</v>
      </c>
      <c r="J72" s="52" t="s">
        <v>74</v>
      </c>
      <c r="K72" s="72">
        <f t="shared" si="6"/>
        <v>12241.18</v>
      </c>
      <c r="L72" s="73">
        <f t="shared" si="5"/>
        <v>391717.76</v>
      </c>
    </row>
    <row r="73" spans="3:12" ht="27" customHeight="1" x14ac:dyDescent="0.35">
      <c r="D73" s="15"/>
      <c r="E73" s="15"/>
      <c r="F73" s="15"/>
      <c r="G73" s="16">
        <f>SUM(G70+G71+G72)</f>
        <v>175</v>
      </c>
      <c r="H73" s="6"/>
      <c r="I73" s="6"/>
      <c r="J73" s="15"/>
      <c r="K73" s="42" t="s">
        <v>10</v>
      </c>
      <c r="L73" s="74">
        <f>SUM(L70:L72)</f>
        <v>1997763.8800000001</v>
      </c>
    </row>
    <row r="74" spans="3:12" ht="27" customHeight="1" x14ac:dyDescent="0.35">
      <c r="C74" s="25" t="s">
        <v>152</v>
      </c>
      <c r="D74" s="15"/>
      <c r="E74" s="15"/>
      <c r="F74" s="15"/>
      <c r="G74" s="15"/>
      <c r="H74" s="15"/>
      <c r="I74" s="15"/>
      <c r="J74" s="15"/>
      <c r="K74" s="42" t="s">
        <v>22</v>
      </c>
      <c r="L74" s="75">
        <f>L73*10/100</f>
        <v>199776.38800000001</v>
      </c>
    </row>
    <row r="75" spans="3:12" ht="27" customHeight="1" x14ac:dyDescent="0.35">
      <c r="C75" s="26" t="s">
        <v>23</v>
      </c>
      <c r="D75" s="26"/>
      <c r="E75" s="26" t="s">
        <v>57</v>
      </c>
      <c r="F75" s="26"/>
      <c r="G75" s="26"/>
      <c r="H75" s="26"/>
      <c r="I75" s="26"/>
      <c r="J75" s="26"/>
      <c r="K75" s="42" t="s">
        <v>13</v>
      </c>
      <c r="L75" s="74">
        <f>L74+L73</f>
        <v>2197540.2680000002</v>
      </c>
    </row>
    <row r="76" spans="3:12" ht="27" customHeight="1" x14ac:dyDescent="0.35">
      <c r="C76" s="26" t="s">
        <v>54</v>
      </c>
      <c r="D76" s="26"/>
      <c r="E76" s="26" t="s">
        <v>58</v>
      </c>
      <c r="F76" s="26"/>
      <c r="G76" s="26"/>
      <c r="H76" s="26"/>
      <c r="I76" s="26"/>
      <c r="J76" s="26"/>
      <c r="K76" s="27"/>
      <c r="L76" s="28"/>
    </row>
    <row r="77" spans="3:12" ht="27" customHeight="1" x14ac:dyDescent="0.35">
      <c r="C77" s="26" t="s">
        <v>52</v>
      </c>
      <c r="E77" s="26" t="s">
        <v>67</v>
      </c>
      <c r="F77" s="26"/>
      <c r="G77" s="26"/>
      <c r="H77" s="26"/>
      <c r="I77" s="26"/>
      <c r="J77" s="26"/>
      <c r="K77" s="27"/>
      <c r="L77" s="28"/>
    </row>
    <row r="78" spans="3:12" ht="27" customHeight="1" x14ac:dyDescent="0.35">
      <c r="C78" s="26" t="s">
        <v>55</v>
      </c>
      <c r="D78" s="26"/>
      <c r="E78" s="26" t="s">
        <v>208</v>
      </c>
      <c r="F78" s="26"/>
      <c r="G78" s="26"/>
      <c r="H78" s="26"/>
      <c r="I78" s="26"/>
      <c r="J78" s="26"/>
      <c r="K78" s="27"/>
      <c r="L78" s="28"/>
    </row>
    <row r="79" spans="3:12" ht="27" customHeight="1" x14ac:dyDescent="0.35">
      <c r="C79" s="26" t="s">
        <v>56</v>
      </c>
      <c r="D79" s="26"/>
      <c r="E79" s="26" t="s">
        <v>209</v>
      </c>
      <c r="F79" s="26"/>
      <c r="G79" s="26"/>
      <c r="H79" s="26"/>
      <c r="I79" s="26"/>
      <c r="J79" s="26"/>
      <c r="K79" s="27"/>
      <c r="L79" s="28"/>
    </row>
    <row r="80" spans="3:12" ht="27" customHeight="1" x14ac:dyDescent="0.35">
      <c r="C80" s="26" t="s">
        <v>216</v>
      </c>
      <c r="D80" s="26"/>
      <c r="E80" s="26"/>
      <c r="F80" s="26"/>
      <c r="G80" s="26"/>
      <c r="H80" s="26"/>
      <c r="I80" s="26"/>
      <c r="J80" s="26"/>
      <c r="K80" s="27"/>
      <c r="L80" s="28"/>
    </row>
    <row r="81" spans="3:12" ht="27" customHeight="1" x14ac:dyDescent="0.35">
      <c r="C81" s="26"/>
      <c r="D81" s="26"/>
      <c r="E81" s="26"/>
      <c r="F81" s="26"/>
      <c r="G81" s="26"/>
      <c r="H81" s="26"/>
      <c r="I81" s="26"/>
      <c r="J81" s="26"/>
      <c r="K81" s="27"/>
      <c r="L81" s="28"/>
    </row>
    <row r="82" spans="3:12" ht="27" customHeight="1" x14ac:dyDescent="0.25">
      <c r="C82" s="111" t="s">
        <v>75</v>
      </c>
      <c r="D82" s="111"/>
      <c r="E82" s="111"/>
      <c r="F82" s="111"/>
      <c r="G82" s="111"/>
      <c r="H82" s="111"/>
      <c r="I82" s="111"/>
      <c r="J82" s="111"/>
      <c r="K82" s="111"/>
      <c r="L82" s="112"/>
    </row>
    <row r="83" spans="3:12" ht="27" customHeight="1" x14ac:dyDescent="0.25">
      <c r="C83" s="51" t="s">
        <v>1</v>
      </c>
      <c r="D83" s="51" t="s">
        <v>2</v>
      </c>
      <c r="E83" s="51" t="s">
        <v>69</v>
      </c>
      <c r="F83" s="51" t="s">
        <v>70</v>
      </c>
      <c r="G83" s="51" t="s">
        <v>5</v>
      </c>
      <c r="H83" s="51" t="s">
        <v>133</v>
      </c>
      <c r="I83" s="51" t="s">
        <v>134</v>
      </c>
      <c r="J83" s="51" t="s">
        <v>6</v>
      </c>
      <c r="K83" s="51" t="s">
        <v>7</v>
      </c>
      <c r="L83" s="51" t="s">
        <v>8</v>
      </c>
    </row>
    <row r="84" spans="3:12" ht="27" customHeight="1" x14ac:dyDescent="0.3">
      <c r="C84" s="17" t="s">
        <v>182</v>
      </c>
      <c r="D84" s="18" t="s">
        <v>186</v>
      </c>
      <c r="E84" s="19"/>
      <c r="F84" s="17"/>
      <c r="G84" s="19">
        <v>1</v>
      </c>
      <c r="H84" s="20">
        <v>12972</v>
      </c>
      <c r="I84" s="45">
        <v>30</v>
      </c>
      <c r="J84" s="52" t="s">
        <v>9</v>
      </c>
      <c r="K84" s="72">
        <f>ROUND(H84*(1-I84/100),2)</f>
        <v>9080.4</v>
      </c>
      <c r="L84" s="73">
        <f t="shared" ref="L84:L87" si="7">K84*G84</f>
        <v>9080.4</v>
      </c>
    </row>
    <row r="85" spans="3:12" ht="27" customHeight="1" x14ac:dyDescent="0.3">
      <c r="C85" s="17" t="s">
        <v>183</v>
      </c>
      <c r="D85" s="18" t="s">
        <v>187</v>
      </c>
      <c r="E85" s="19"/>
      <c r="F85" s="17"/>
      <c r="G85" s="19">
        <v>18</v>
      </c>
      <c r="H85" s="20">
        <v>17296</v>
      </c>
      <c r="I85" s="45">
        <v>30</v>
      </c>
      <c r="J85" s="52" t="s">
        <v>9</v>
      </c>
      <c r="K85" s="72">
        <f t="shared" ref="K85:K87" si="8">ROUND(H85*(1-I85/100),2)</f>
        <v>12107.2</v>
      </c>
      <c r="L85" s="73">
        <f t="shared" si="7"/>
        <v>217929.60000000001</v>
      </c>
    </row>
    <row r="86" spans="3:12" ht="27" customHeight="1" x14ac:dyDescent="0.3">
      <c r="C86" s="17" t="s">
        <v>184</v>
      </c>
      <c r="D86" s="18" t="s">
        <v>188</v>
      </c>
      <c r="E86" s="19"/>
      <c r="F86" s="17"/>
      <c r="G86" s="19">
        <v>20</v>
      </c>
      <c r="H86" s="20">
        <v>21625.83</v>
      </c>
      <c r="I86" s="45">
        <v>30</v>
      </c>
      <c r="J86" s="52" t="s">
        <v>9</v>
      </c>
      <c r="K86" s="72">
        <f t="shared" si="8"/>
        <v>15138.08</v>
      </c>
      <c r="L86" s="73">
        <f t="shared" si="7"/>
        <v>302761.59999999998</v>
      </c>
    </row>
    <row r="87" spans="3:12" ht="27" customHeight="1" x14ac:dyDescent="0.3">
      <c r="C87" s="17" t="s">
        <v>185</v>
      </c>
      <c r="D87" s="18" t="s">
        <v>189</v>
      </c>
      <c r="E87" s="19"/>
      <c r="F87" s="17"/>
      <c r="G87" s="19">
        <v>3</v>
      </c>
      <c r="H87" s="20">
        <v>25948.78</v>
      </c>
      <c r="I87" s="45">
        <v>30</v>
      </c>
      <c r="J87" s="52" t="s">
        <v>9</v>
      </c>
      <c r="K87" s="72">
        <f t="shared" si="8"/>
        <v>18164.150000000001</v>
      </c>
      <c r="L87" s="73">
        <f t="shared" si="7"/>
        <v>54492.450000000004</v>
      </c>
    </row>
    <row r="88" spans="3:12" ht="27" customHeight="1" x14ac:dyDescent="0.35">
      <c r="D88" s="15"/>
      <c r="E88" s="15"/>
      <c r="F88" s="15"/>
      <c r="G88" s="16">
        <f>SUM(G84+G85+G86+G87)</f>
        <v>42</v>
      </c>
      <c r="H88" s="6"/>
      <c r="I88" s="6"/>
      <c r="J88" s="15"/>
      <c r="K88" s="42" t="s">
        <v>10</v>
      </c>
      <c r="L88" s="74">
        <f>SUM(L84:L87)</f>
        <v>584264.04999999993</v>
      </c>
    </row>
    <row r="89" spans="3:12" ht="27" customHeight="1" x14ac:dyDescent="0.35">
      <c r="C89" s="25" t="s">
        <v>153</v>
      </c>
      <c r="D89" s="15"/>
      <c r="E89" s="15"/>
      <c r="F89" s="15"/>
      <c r="G89" s="15"/>
      <c r="H89" s="15"/>
      <c r="I89" s="15"/>
      <c r="J89" s="15"/>
      <c r="K89" s="42" t="s">
        <v>22</v>
      </c>
      <c r="L89" s="75">
        <f>L88*10/100</f>
        <v>58426.404999999992</v>
      </c>
    </row>
    <row r="90" spans="3:12" ht="27" customHeight="1" x14ac:dyDescent="0.35">
      <c r="C90" s="26" t="s">
        <v>23</v>
      </c>
      <c r="D90" s="26"/>
      <c r="E90" s="26" t="s">
        <v>60</v>
      </c>
      <c r="F90" s="26"/>
      <c r="G90" s="26"/>
      <c r="H90" s="26"/>
      <c r="I90" s="26"/>
      <c r="J90" s="26"/>
      <c r="K90" s="42" t="s">
        <v>13</v>
      </c>
      <c r="L90" s="74">
        <f>L89+L88</f>
        <v>642690.45499999996</v>
      </c>
    </row>
    <row r="91" spans="3:12" ht="27" customHeight="1" x14ac:dyDescent="0.35">
      <c r="C91" s="26" t="s">
        <v>68</v>
      </c>
      <c r="D91" s="26"/>
      <c r="E91" s="26" t="s">
        <v>61</v>
      </c>
      <c r="F91" s="26"/>
      <c r="G91" s="26"/>
      <c r="H91" s="26"/>
      <c r="I91" s="26"/>
      <c r="J91" s="26"/>
      <c r="K91" s="27"/>
      <c r="L91" s="28"/>
    </row>
    <row r="92" spans="3:12" ht="27" customHeight="1" x14ac:dyDescent="0.35">
      <c r="C92" s="26" t="s">
        <v>52</v>
      </c>
      <c r="D92" s="26"/>
      <c r="E92" s="26" t="s">
        <v>205</v>
      </c>
      <c r="F92" s="26"/>
      <c r="G92" s="26"/>
      <c r="H92" s="26"/>
      <c r="I92" s="26"/>
      <c r="J92" s="26"/>
      <c r="K92" s="27"/>
      <c r="L92" s="28"/>
    </row>
    <row r="93" spans="3:12" ht="27" customHeight="1" x14ac:dyDescent="0.35">
      <c r="C93" s="26" t="s">
        <v>24</v>
      </c>
      <c r="D93" s="26"/>
      <c r="E93" s="26" t="s">
        <v>206</v>
      </c>
      <c r="F93" s="26"/>
      <c r="G93" s="26"/>
      <c r="H93" s="26"/>
      <c r="I93" s="26"/>
      <c r="J93" s="26"/>
      <c r="K93" s="27"/>
      <c r="L93" s="28"/>
    </row>
    <row r="94" spans="3:12" ht="27" customHeight="1" x14ac:dyDescent="0.35">
      <c r="C94" s="26" t="s">
        <v>216</v>
      </c>
      <c r="D94" s="26"/>
      <c r="E94" s="26" t="s">
        <v>207</v>
      </c>
      <c r="F94" s="26"/>
      <c r="G94" s="26"/>
      <c r="H94" s="26"/>
      <c r="I94" s="26"/>
      <c r="J94" s="26"/>
      <c r="K94" s="27"/>
      <c r="L94" s="28"/>
    </row>
    <row r="95" spans="3:12" ht="27" customHeight="1" x14ac:dyDescent="0.35">
      <c r="C95" s="26"/>
      <c r="D95" s="26"/>
      <c r="E95" s="26"/>
      <c r="F95" s="26"/>
      <c r="G95" s="26"/>
      <c r="H95" s="26"/>
      <c r="I95" s="26"/>
      <c r="J95" s="26"/>
      <c r="K95" s="27"/>
      <c r="L95" s="28"/>
    </row>
    <row r="96" spans="3:12" ht="27" customHeight="1" x14ac:dyDescent="0.25">
      <c r="C96" s="111" t="s">
        <v>76</v>
      </c>
      <c r="D96" s="111"/>
      <c r="E96" s="111"/>
      <c r="F96" s="111"/>
      <c r="G96" s="111"/>
      <c r="H96" s="111"/>
      <c r="I96" s="111"/>
      <c r="J96" s="111"/>
      <c r="K96" s="111"/>
      <c r="L96" s="112"/>
    </row>
    <row r="97" spans="3:12" ht="27" customHeight="1" x14ac:dyDescent="0.25">
      <c r="C97" s="51" t="s">
        <v>1</v>
      </c>
      <c r="D97" s="51" t="s">
        <v>2</v>
      </c>
      <c r="E97" s="51" t="s">
        <v>77</v>
      </c>
      <c r="F97" s="51" t="s">
        <v>4</v>
      </c>
      <c r="G97" s="51" t="s">
        <v>5</v>
      </c>
      <c r="H97" s="51" t="s">
        <v>133</v>
      </c>
      <c r="I97" s="51" t="s">
        <v>134</v>
      </c>
      <c r="J97" s="51" t="s">
        <v>6</v>
      </c>
      <c r="K97" s="51" t="s">
        <v>7</v>
      </c>
      <c r="L97" s="51" t="s">
        <v>8</v>
      </c>
    </row>
    <row r="98" spans="3:12" ht="27" customHeight="1" x14ac:dyDescent="0.3">
      <c r="C98" s="17"/>
      <c r="D98" s="18" t="s">
        <v>193</v>
      </c>
      <c r="E98" s="19" t="s">
        <v>190</v>
      </c>
      <c r="F98" s="17" t="s">
        <v>192</v>
      </c>
      <c r="G98" s="19">
        <v>122</v>
      </c>
      <c r="H98" s="20">
        <v>783</v>
      </c>
      <c r="I98" s="45">
        <v>30</v>
      </c>
      <c r="J98" s="52" t="s">
        <v>9</v>
      </c>
      <c r="K98" s="72">
        <f>ROUND(H98*(1-I98/100),2)</f>
        <v>548.1</v>
      </c>
      <c r="L98" s="73">
        <f t="shared" ref="L98:L101" si="9">K98*G98</f>
        <v>66868.2</v>
      </c>
    </row>
    <row r="99" spans="3:12" ht="27" customHeight="1" x14ac:dyDescent="0.3">
      <c r="C99" s="17"/>
      <c r="D99" s="18" t="s">
        <v>193</v>
      </c>
      <c r="E99" s="19" t="s">
        <v>191</v>
      </c>
      <c r="F99" s="17" t="s">
        <v>192</v>
      </c>
      <c r="G99" s="19">
        <v>26</v>
      </c>
      <c r="H99" s="20">
        <v>815</v>
      </c>
      <c r="I99" s="45">
        <v>30</v>
      </c>
      <c r="J99" s="52" t="s">
        <v>9</v>
      </c>
      <c r="K99" s="72">
        <f t="shared" ref="K99:K102" si="10">ROUND(H99*(1-I99/100),2)</f>
        <v>570.5</v>
      </c>
      <c r="L99" s="73">
        <f t="shared" si="9"/>
        <v>14833</v>
      </c>
    </row>
    <row r="100" spans="3:12" ht="27" customHeight="1" x14ac:dyDescent="0.3">
      <c r="C100" s="17"/>
      <c r="D100" s="18" t="s">
        <v>194</v>
      </c>
      <c r="E100" s="19"/>
      <c r="F100" s="17"/>
      <c r="G100" s="19">
        <v>18</v>
      </c>
      <c r="H100" s="20">
        <v>1987</v>
      </c>
      <c r="I100" s="45">
        <v>30</v>
      </c>
      <c r="J100" s="52" t="s">
        <v>9</v>
      </c>
      <c r="K100" s="72">
        <f t="shared" si="10"/>
        <v>1390.9</v>
      </c>
      <c r="L100" s="73">
        <f t="shared" si="9"/>
        <v>25036.2</v>
      </c>
    </row>
    <row r="101" spans="3:12" ht="27" customHeight="1" x14ac:dyDescent="0.3">
      <c r="C101" s="17"/>
      <c r="D101" s="18" t="s">
        <v>195</v>
      </c>
      <c r="E101" s="19"/>
      <c r="F101" s="17"/>
      <c r="G101" s="19">
        <v>18</v>
      </c>
      <c r="H101" s="20">
        <v>785</v>
      </c>
      <c r="I101" s="45">
        <v>30</v>
      </c>
      <c r="J101" s="52" t="s">
        <v>9</v>
      </c>
      <c r="K101" s="72">
        <f t="shared" si="10"/>
        <v>549.5</v>
      </c>
      <c r="L101" s="73">
        <f t="shared" si="9"/>
        <v>9891</v>
      </c>
    </row>
    <row r="102" spans="3:12" ht="27" customHeight="1" x14ac:dyDescent="0.3">
      <c r="C102" s="22"/>
      <c r="D102" s="23" t="s">
        <v>196</v>
      </c>
      <c r="E102" s="19"/>
      <c r="F102" s="24"/>
      <c r="G102" s="19">
        <v>18</v>
      </c>
      <c r="H102" s="20">
        <v>698</v>
      </c>
      <c r="I102" s="45">
        <v>30</v>
      </c>
      <c r="J102" s="52" t="s">
        <v>9</v>
      </c>
      <c r="K102" s="72">
        <f t="shared" si="10"/>
        <v>488.6</v>
      </c>
      <c r="L102" s="73">
        <f>K102*G102</f>
        <v>8794.8000000000011</v>
      </c>
    </row>
    <row r="103" spans="3:12" ht="27" customHeight="1" x14ac:dyDescent="0.35">
      <c r="D103" s="15"/>
      <c r="E103" s="15"/>
      <c r="F103" s="15"/>
      <c r="G103" s="16">
        <f>SUM(G98+G99+G100+G101+G102)</f>
        <v>202</v>
      </c>
      <c r="H103" s="6"/>
      <c r="I103" s="6"/>
      <c r="J103" s="15"/>
      <c r="K103" s="42" t="s">
        <v>10</v>
      </c>
      <c r="L103" s="74">
        <f>SUM(L98:L102)</f>
        <v>125423.2</v>
      </c>
    </row>
    <row r="104" spans="3:12" ht="27" customHeight="1" x14ac:dyDescent="0.35">
      <c r="C104" s="25"/>
      <c r="D104" s="15"/>
      <c r="E104" s="15"/>
      <c r="F104" s="15"/>
      <c r="G104" s="15"/>
      <c r="H104" s="15"/>
      <c r="I104" s="15"/>
      <c r="J104" s="15"/>
      <c r="K104" s="42" t="s">
        <v>11</v>
      </c>
      <c r="L104" s="75">
        <f>L103*20/100</f>
        <v>25084.639999999999</v>
      </c>
    </row>
    <row r="105" spans="3:12" ht="27" customHeight="1" x14ac:dyDescent="0.35">
      <c r="C105" s="26"/>
      <c r="D105" s="26"/>
      <c r="E105" s="26"/>
      <c r="F105" s="26"/>
      <c r="G105" s="26"/>
      <c r="H105" s="26"/>
      <c r="I105" s="26"/>
      <c r="J105" s="26"/>
      <c r="K105" s="42" t="s">
        <v>13</v>
      </c>
      <c r="L105" s="74">
        <f>L104+L103</f>
        <v>150507.84</v>
      </c>
    </row>
    <row r="106" spans="3:12" ht="27" customHeight="1" x14ac:dyDescent="0.35">
      <c r="C106" s="26"/>
      <c r="D106" s="26"/>
      <c r="E106" s="26"/>
      <c r="F106" s="26"/>
      <c r="G106" s="26"/>
      <c r="H106" s="26"/>
      <c r="I106" s="26"/>
      <c r="J106" s="26"/>
      <c r="K106" s="27"/>
      <c r="L106" s="29"/>
    </row>
    <row r="107" spans="3:12" ht="27" customHeight="1" x14ac:dyDescent="0.25">
      <c r="C107" s="111" t="s">
        <v>136</v>
      </c>
      <c r="D107" s="111"/>
      <c r="E107" s="111"/>
      <c r="F107" s="111"/>
      <c r="G107" s="111"/>
      <c r="H107" s="111"/>
      <c r="I107" s="111"/>
      <c r="J107" s="111"/>
      <c r="K107" s="111"/>
      <c r="L107" s="112"/>
    </row>
    <row r="108" spans="3:12" ht="27" customHeight="1" x14ac:dyDescent="0.25">
      <c r="C108" s="51" t="s">
        <v>1</v>
      </c>
      <c r="D108" s="51" t="s">
        <v>2</v>
      </c>
      <c r="E108" s="51" t="s">
        <v>137</v>
      </c>
      <c r="F108" s="51" t="s">
        <v>4</v>
      </c>
      <c r="G108" s="51" t="s">
        <v>5</v>
      </c>
      <c r="H108" s="51" t="s">
        <v>133</v>
      </c>
      <c r="I108" s="51" t="s">
        <v>134</v>
      </c>
      <c r="J108" s="51" t="s">
        <v>6</v>
      </c>
      <c r="K108" s="51" t="s">
        <v>7</v>
      </c>
      <c r="L108" s="51" t="s">
        <v>8</v>
      </c>
    </row>
    <row r="109" spans="3:12" ht="27" customHeight="1" x14ac:dyDescent="0.3">
      <c r="C109" s="17" t="s">
        <v>197</v>
      </c>
      <c r="D109" s="18" t="s">
        <v>198</v>
      </c>
      <c r="E109" s="19" t="s">
        <v>199</v>
      </c>
      <c r="F109" s="17" t="s">
        <v>217</v>
      </c>
      <c r="G109" s="19">
        <v>1155</v>
      </c>
      <c r="H109" s="20">
        <v>786.71</v>
      </c>
      <c r="I109" s="45">
        <v>40</v>
      </c>
      <c r="J109" s="52" t="s">
        <v>73</v>
      </c>
      <c r="K109" s="72">
        <f>ROUND(H109*(1-I109/100),2)</f>
        <v>472.03</v>
      </c>
      <c r="L109" s="73">
        <f t="shared" ref="L109" si="11">K109*G109</f>
        <v>545194.65</v>
      </c>
    </row>
    <row r="110" spans="3:12" ht="27" customHeight="1" x14ac:dyDescent="0.35">
      <c r="D110" s="15"/>
      <c r="E110" s="15"/>
      <c r="F110" s="15"/>
      <c r="G110" s="16">
        <f>G109</f>
        <v>1155</v>
      </c>
      <c r="H110" s="6"/>
      <c r="I110" s="6"/>
      <c r="J110" s="15"/>
      <c r="K110" s="42" t="s">
        <v>10</v>
      </c>
      <c r="L110" s="74">
        <f>SUM(L109:L109)</f>
        <v>545194.65</v>
      </c>
    </row>
    <row r="111" spans="3:12" ht="27" customHeight="1" x14ac:dyDescent="0.35">
      <c r="C111" s="25" t="s">
        <v>154</v>
      </c>
      <c r="D111" s="15"/>
      <c r="E111" s="15"/>
      <c r="F111" s="15"/>
      <c r="G111" s="15"/>
      <c r="H111" s="15"/>
      <c r="I111" s="15"/>
      <c r="J111" s="15"/>
      <c r="K111" s="42" t="s">
        <v>11</v>
      </c>
      <c r="L111" s="75">
        <f>L110*20/100</f>
        <v>109038.93</v>
      </c>
    </row>
    <row r="112" spans="3:12" ht="27" customHeight="1" x14ac:dyDescent="0.35">
      <c r="C112" s="26" t="s">
        <v>155</v>
      </c>
      <c r="D112" s="26"/>
      <c r="E112" s="26" t="s">
        <v>157</v>
      </c>
      <c r="F112" s="26"/>
      <c r="G112" s="26"/>
      <c r="H112" s="26"/>
      <c r="I112" s="26"/>
      <c r="J112" s="26"/>
      <c r="K112" s="42" t="s">
        <v>13</v>
      </c>
      <c r="L112" s="74">
        <f>L111+L110</f>
        <v>654233.58000000007</v>
      </c>
    </row>
    <row r="113" spans="3:12" ht="27" customHeight="1" x14ac:dyDescent="0.35">
      <c r="C113" s="26" t="s">
        <v>156</v>
      </c>
      <c r="D113" s="26"/>
      <c r="E113" s="26" t="s">
        <v>204</v>
      </c>
      <c r="F113" s="26"/>
      <c r="G113" s="26"/>
      <c r="H113" s="26"/>
      <c r="I113" s="26"/>
      <c r="J113" s="26"/>
      <c r="K113" s="27"/>
      <c r="L113" s="29"/>
    </row>
    <row r="114" spans="3:12" ht="27" customHeight="1" x14ac:dyDescent="0.35">
      <c r="C114" s="26"/>
      <c r="D114" s="26"/>
      <c r="E114" s="26"/>
      <c r="F114" s="26"/>
      <c r="G114" s="26"/>
      <c r="H114" s="26"/>
      <c r="I114" s="26"/>
      <c r="J114" s="26"/>
      <c r="K114" s="27"/>
      <c r="L114" s="28"/>
    </row>
    <row r="115" spans="3:12" ht="27" customHeight="1" x14ac:dyDescent="0.25">
      <c r="C115" s="111" t="s">
        <v>78</v>
      </c>
      <c r="D115" s="111"/>
      <c r="E115" s="111"/>
      <c r="F115" s="111"/>
      <c r="G115" s="111"/>
      <c r="H115" s="111"/>
      <c r="I115" s="111"/>
      <c r="J115" s="111"/>
      <c r="K115" s="111"/>
      <c r="L115" s="112"/>
    </row>
    <row r="116" spans="3:12" ht="27" customHeight="1" x14ac:dyDescent="0.25">
      <c r="C116" s="51" t="s">
        <v>1</v>
      </c>
      <c r="D116" s="138" t="s">
        <v>2</v>
      </c>
      <c r="E116" s="139"/>
      <c r="F116" s="140"/>
      <c r="G116" s="51" t="s">
        <v>5</v>
      </c>
      <c r="H116" s="16"/>
      <c r="I116" s="16"/>
      <c r="J116" s="51" t="s">
        <v>6</v>
      </c>
      <c r="K116" s="51" t="s">
        <v>7</v>
      </c>
      <c r="L116" s="51" t="s">
        <v>8</v>
      </c>
    </row>
    <row r="117" spans="3:12" ht="27" customHeight="1" x14ac:dyDescent="0.3">
      <c r="C117" s="17"/>
      <c r="D117" s="135" t="s">
        <v>164</v>
      </c>
      <c r="E117" s="136"/>
      <c r="F117" s="137"/>
      <c r="G117" s="19">
        <v>18</v>
      </c>
      <c r="H117" s="19"/>
      <c r="I117" s="19"/>
      <c r="J117" s="52" t="s">
        <v>9</v>
      </c>
      <c r="K117" s="21">
        <v>2200</v>
      </c>
      <c r="L117" s="73">
        <f t="shared" ref="L117:L127" si="12">K117*G117</f>
        <v>39600</v>
      </c>
    </row>
    <row r="118" spans="3:12" ht="27" customHeight="1" x14ac:dyDescent="0.3">
      <c r="C118" s="17"/>
      <c r="D118" s="135" t="s">
        <v>166</v>
      </c>
      <c r="E118" s="136"/>
      <c r="F118" s="137"/>
      <c r="G118" s="19">
        <v>16</v>
      </c>
      <c r="H118" s="19"/>
      <c r="I118" s="19"/>
      <c r="J118" s="52" t="s">
        <v>9</v>
      </c>
      <c r="K118" s="21">
        <v>1950</v>
      </c>
      <c r="L118" s="73">
        <f t="shared" si="12"/>
        <v>31200</v>
      </c>
    </row>
    <row r="119" spans="3:12" ht="27" customHeight="1" x14ac:dyDescent="0.3">
      <c r="C119" s="17"/>
      <c r="D119" s="135" t="s">
        <v>169</v>
      </c>
      <c r="E119" s="136"/>
      <c r="F119" s="137"/>
      <c r="G119" s="19">
        <v>148</v>
      </c>
      <c r="H119" s="19"/>
      <c r="I119" s="19"/>
      <c r="J119" s="52" t="s">
        <v>9</v>
      </c>
      <c r="K119" s="21">
        <v>1500</v>
      </c>
      <c r="L119" s="73">
        <f t="shared" si="12"/>
        <v>222000</v>
      </c>
    </row>
    <row r="120" spans="3:12" ht="27" customHeight="1" x14ac:dyDescent="0.3">
      <c r="C120" s="17"/>
      <c r="D120" s="135" t="s">
        <v>226</v>
      </c>
      <c r="E120" s="136"/>
      <c r="F120" s="137"/>
      <c r="G120" s="19">
        <v>263</v>
      </c>
      <c r="H120" s="19"/>
      <c r="I120" s="19"/>
      <c r="J120" s="52" t="s">
        <v>202</v>
      </c>
      <c r="K120" s="21">
        <v>1500</v>
      </c>
      <c r="L120" s="73">
        <f t="shared" si="12"/>
        <v>394500</v>
      </c>
    </row>
    <row r="121" spans="3:12" ht="27" customHeight="1" x14ac:dyDescent="0.3">
      <c r="C121" s="17"/>
      <c r="D121" s="135" t="s">
        <v>178</v>
      </c>
      <c r="E121" s="136"/>
      <c r="F121" s="137"/>
      <c r="G121" s="19">
        <v>59</v>
      </c>
      <c r="H121" s="19"/>
      <c r="I121" s="19"/>
      <c r="J121" s="52" t="s">
        <v>73</v>
      </c>
      <c r="K121" s="21">
        <v>1500</v>
      </c>
      <c r="L121" s="73">
        <f t="shared" si="12"/>
        <v>88500</v>
      </c>
    </row>
    <row r="122" spans="3:12" ht="27" customHeight="1" x14ac:dyDescent="0.3">
      <c r="C122" s="17"/>
      <c r="D122" s="135" t="s">
        <v>179</v>
      </c>
      <c r="E122" s="136"/>
      <c r="F122" s="137"/>
      <c r="G122" s="19">
        <v>84</v>
      </c>
      <c r="H122" s="19"/>
      <c r="I122" s="19"/>
      <c r="J122" s="52" t="s">
        <v>73</v>
      </c>
      <c r="K122" s="21">
        <v>1500</v>
      </c>
      <c r="L122" s="73">
        <f t="shared" si="12"/>
        <v>126000</v>
      </c>
    </row>
    <row r="123" spans="3:12" ht="27" customHeight="1" x14ac:dyDescent="0.3">
      <c r="C123" s="17"/>
      <c r="D123" s="135" t="s">
        <v>180</v>
      </c>
      <c r="E123" s="136"/>
      <c r="F123" s="137"/>
      <c r="G123" s="19">
        <v>32</v>
      </c>
      <c r="H123" s="19"/>
      <c r="I123" s="19"/>
      <c r="J123" s="52" t="s">
        <v>73</v>
      </c>
      <c r="K123" s="21">
        <v>1500</v>
      </c>
      <c r="L123" s="73">
        <f t="shared" si="12"/>
        <v>48000</v>
      </c>
    </row>
    <row r="124" spans="3:12" ht="27" customHeight="1" x14ac:dyDescent="0.3">
      <c r="C124" s="17"/>
      <c r="D124" s="135" t="s">
        <v>186</v>
      </c>
      <c r="E124" s="136"/>
      <c r="F124" s="137"/>
      <c r="G124" s="19">
        <v>1</v>
      </c>
      <c r="H124" s="19"/>
      <c r="I124" s="19"/>
      <c r="J124" s="52" t="s">
        <v>9</v>
      </c>
      <c r="K124" s="21">
        <v>2000</v>
      </c>
      <c r="L124" s="73">
        <f t="shared" si="12"/>
        <v>2000</v>
      </c>
    </row>
    <row r="125" spans="3:12" ht="27" customHeight="1" x14ac:dyDescent="0.3">
      <c r="C125" s="17"/>
      <c r="D125" s="135" t="s">
        <v>187</v>
      </c>
      <c r="E125" s="136"/>
      <c r="F125" s="137"/>
      <c r="G125" s="19">
        <v>18</v>
      </c>
      <c r="H125" s="19"/>
      <c r="I125" s="19"/>
      <c r="J125" s="52" t="s">
        <v>9</v>
      </c>
      <c r="K125" s="21">
        <v>3000</v>
      </c>
      <c r="L125" s="73">
        <f t="shared" si="12"/>
        <v>54000</v>
      </c>
    </row>
    <row r="126" spans="3:12" ht="27" customHeight="1" x14ac:dyDescent="0.3">
      <c r="C126" s="17"/>
      <c r="D126" s="135" t="s">
        <v>188</v>
      </c>
      <c r="E126" s="136"/>
      <c r="F126" s="137"/>
      <c r="G126" s="19">
        <v>20</v>
      </c>
      <c r="H126" s="19"/>
      <c r="I126" s="19"/>
      <c r="J126" s="52" t="s">
        <v>9</v>
      </c>
      <c r="K126" s="21">
        <v>3000</v>
      </c>
      <c r="L126" s="73">
        <f t="shared" si="12"/>
        <v>60000</v>
      </c>
    </row>
    <row r="127" spans="3:12" ht="27" customHeight="1" x14ac:dyDescent="0.3">
      <c r="C127" s="17"/>
      <c r="D127" s="135" t="s">
        <v>189</v>
      </c>
      <c r="E127" s="136"/>
      <c r="F127" s="137"/>
      <c r="G127" s="19">
        <v>3</v>
      </c>
      <c r="H127" s="19"/>
      <c r="I127" s="19"/>
      <c r="J127" s="52" t="s">
        <v>9</v>
      </c>
      <c r="K127" s="21">
        <v>3000</v>
      </c>
      <c r="L127" s="73">
        <f t="shared" si="12"/>
        <v>9000</v>
      </c>
    </row>
    <row r="128" spans="3:12" ht="27" customHeight="1" x14ac:dyDescent="0.35">
      <c r="D128" s="15"/>
      <c r="E128" s="15"/>
      <c r="F128" s="15"/>
      <c r="G128" s="16">
        <f>SUM(G117:G127)</f>
        <v>662</v>
      </c>
      <c r="H128" s="6"/>
      <c r="I128" s="6"/>
      <c r="J128" s="15"/>
      <c r="K128" s="42" t="s">
        <v>10</v>
      </c>
      <c r="L128" s="74">
        <f>SUM(L117:L127)</f>
        <v>1074800</v>
      </c>
    </row>
    <row r="129" spans="3:12" ht="27" customHeight="1" x14ac:dyDescent="0.35">
      <c r="C129" s="25"/>
      <c r="D129" s="15"/>
      <c r="E129" s="15"/>
      <c r="F129" s="15"/>
      <c r="G129" s="15"/>
      <c r="H129" s="15"/>
      <c r="I129" s="15"/>
      <c r="J129" s="15"/>
      <c r="K129" s="42" t="s">
        <v>11</v>
      </c>
      <c r="L129" s="75">
        <f>L128*20/100</f>
        <v>214960</v>
      </c>
    </row>
    <row r="130" spans="3:12" ht="27" customHeight="1" x14ac:dyDescent="0.35">
      <c r="C130" s="25" t="s">
        <v>158</v>
      </c>
      <c r="D130" s="15"/>
      <c r="E130" s="15"/>
      <c r="F130" s="26"/>
      <c r="G130" s="26"/>
      <c r="H130" s="26"/>
      <c r="I130" s="26"/>
      <c r="J130" s="26"/>
      <c r="K130" s="42" t="s">
        <v>13</v>
      </c>
      <c r="L130" s="74">
        <f>L129+L128</f>
        <v>1289760</v>
      </c>
    </row>
    <row r="131" spans="3:12" ht="27" customHeight="1" x14ac:dyDescent="0.35">
      <c r="C131" s="26" t="s">
        <v>62</v>
      </c>
      <c r="D131" s="26"/>
      <c r="E131" s="26" t="s">
        <v>64</v>
      </c>
      <c r="F131" s="26"/>
      <c r="G131" s="26"/>
      <c r="H131" s="26"/>
      <c r="I131" s="26"/>
      <c r="J131" s="26"/>
      <c r="K131" s="27"/>
      <c r="L131" s="29"/>
    </row>
    <row r="132" spans="3:12" ht="27" customHeight="1" x14ac:dyDescent="0.35">
      <c r="C132" s="26" t="s">
        <v>63</v>
      </c>
      <c r="D132" s="26"/>
      <c r="E132" s="26" t="s">
        <v>79</v>
      </c>
      <c r="F132" s="26"/>
      <c r="G132" s="26"/>
      <c r="H132" s="26"/>
      <c r="I132" s="26"/>
      <c r="J132" s="26"/>
      <c r="K132" s="27"/>
      <c r="L132" s="29"/>
    </row>
    <row r="133" spans="3:12" ht="27" customHeight="1" x14ac:dyDescent="0.35">
      <c r="C133" s="26"/>
      <c r="D133" s="26"/>
      <c r="E133" s="26"/>
      <c r="F133" s="26"/>
      <c r="G133" s="26"/>
      <c r="H133" s="26"/>
      <c r="I133" s="26"/>
      <c r="J133" s="26"/>
      <c r="K133" s="27"/>
      <c r="L133" s="29"/>
    </row>
    <row r="134" spans="3:12" ht="27" customHeight="1" x14ac:dyDescent="0.35">
      <c r="C134" s="26"/>
      <c r="D134" s="26"/>
      <c r="E134" s="26"/>
      <c r="F134" s="26"/>
      <c r="G134" s="26"/>
      <c r="H134" s="26"/>
      <c r="I134" s="26"/>
      <c r="J134" s="26"/>
      <c r="K134" s="27"/>
      <c r="L134" s="29"/>
    </row>
    <row r="135" spans="3:12" ht="27" customHeight="1" x14ac:dyDescent="0.35">
      <c r="C135" s="26"/>
      <c r="D135" s="26"/>
      <c r="E135" s="26"/>
      <c r="F135" s="26"/>
      <c r="G135" s="26"/>
      <c r="H135" s="26"/>
      <c r="I135" s="26"/>
      <c r="J135" s="26"/>
      <c r="K135" s="27"/>
      <c r="L135" s="29"/>
    </row>
    <row r="136" spans="3:12" ht="27" customHeight="1" x14ac:dyDescent="0.35">
      <c r="C136" s="26"/>
      <c r="D136" s="26"/>
      <c r="E136" s="26"/>
      <c r="F136" s="26"/>
      <c r="G136" s="26"/>
      <c r="H136" s="26"/>
      <c r="I136" s="26"/>
      <c r="J136" s="26"/>
      <c r="K136" s="27"/>
      <c r="L136" s="29"/>
    </row>
    <row r="137" spans="3:12" ht="27" customHeight="1" x14ac:dyDescent="0.35">
      <c r="C137" s="26"/>
      <c r="D137" s="26"/>
      <c r="E137" s="26"/>
      <c r="F137" s="26"/>
      <c r="G137" s="26"/>
      <c r="H137" s="26"/>
      <c r="I137" s="26"/>
      <c r="J137" s="26"/>
      <c r="K137" s="27"/>
      <c r="L137" s="29"/>
    </row>
    <row r="138" spans="3:12" ht="27" customHeight="1" x14ac:dyDescent="0.35">
      <c r="C138" s="26"/>
      <c r="D138" s="26"/>
      <c r="E138" s="26"/>
      <c r="F138" s="26"/>
      <c r="G138" s="26"/>
      <c r="H138" s="26"/>
      <c r="I138" s="26"/>
      <c r="J138" s="26"/>
      <c r="K138" s="27"/>
      <c r="L138" s="29"/>
    </row>
    <row r="139" spans="3:12" ht="27" customHeight="1" x14ac:dyDescent="0.35">
      <c r="C139" s="26"/>
      <c r="D139" s="26"/>
      <c r="E139" s="26"/>
      <c r="F139" s="26"/>
      <c r="G139" s="26"/>
      <c r="H139" s="26"/>
      <c r="I139" s="26"/>
      <c r="J139" s="26"/>
      <c r="K139" s="27"/>
      <c r="L139" s="29"/>
    </row>
    <row r="140" spans="3:12" ht="27" customHeight="1" x14ac:dyDescent="0.35">
      <c r="C140" s="26"/>
      <c r="D140" s="26"/>
      <c r="E140" s="26"/>
      <c r="F140" s="26"/>
      <c r="G140" s="26"/>
      <c r="H140" s="26"/>
      <c r="I140" s="26"/>
      <c r="J140" s="26"/>
      <c r="K140" s="27"/>
      <c r="L140" s="29"/>
    </row>
    <row r="141" spans="3:12" ht="27" customHeight="1" x14ac:dyDescent="0.35">
      <c r="C141" s="26"/>
      <c r="D141" s="26"/>
      <c r="E141" s="26"/>
      <c r="F141" s="26"/>
      <c r="G141" s="26"/>
      <c r="H141" s="26"/>
      <c r="I141" s="26"/>
      <c r="J141" s="26"/>
      <c r="K141" s="27"/>
      <c r="L141" s="29"/>
    </row>
    <row r="142" spans="3:12" ht="27" customHeight="1" x14ac:dyDescent="0.35">
      <c r="C142" s="26"/>
      <c r="D142" s="26"/>
      <c r="E142" s="26"/>
      <c r="F142" s="26"/>
      <c r="G142" s="26"/>
      <c r="H142" s="26"/>
      <c r="I142" s="26"/>
      <c r="J142" s="26"/>
      <c r="K142" s="27"/>
      <c r="L142" s="29"/>
    </row>
    <row r="143" spans="3:12" ht="27" customHeight="1" thickBot="1" x14ac:dyDescent="0.4">
      <c r="C143" s="26"/>
      <c r="D143" s="26"/>
      <c r="E143" s="26"/>
      <c r="F143" s="26"/>
      <c r="G143" s="26"/>
      <c r="H143" s="26"/>
      <c r="I143" s="26"/>
      <c r="J143" s="26"/>
      <c r="K143" s="27"/>
      <c r="L143" s="29"/>
    </row>
    <row r="144" spans="3:12" ht="27" customHeight="1" thickBot="1" x14ac:dyDescent="0.4">
      <c r="C144" s="26"/>
      <c r="D144" s="26"/>
      <c r="E144" s="26"/>
      <c r="F144" s="146" t="s">
        <v>125</v>
      </c>
      <c r="G144" s="147"/>
      <c r="H144" s="147"/>
      <c r="I144" s="147"/>
      <c r="J144" s="148"/>
      <c r="K144" s="27"/>
      <c r="L144" s="29"/>
    </row>
    <row r="145" spans="3:13" ht="27" customHeight="1" thickBot="1" x14ac:dyDescent="0.35">
      <c r="C145" s="141" t="s">
        <v>80</v>
      </c>
      <c r="D145" s="142"/>
      <c r="E145" s="26"/>
      <c r="F145" s="143" t="s">
        <v>122</v>
      </c>
      <c r="G145" s="144"/>
      <c r="H145" s="144"/>
      <c r="I145" s="144"/>
      <c r="J145" s="145"/>
      <c r="L145" s="30"/>
    </row>
    <row r="146" spans="3:13" ht="27" customHeight="1" x14ac:dyDescent="0.25">
      <c r="C146" s="53" t="s">
        <v>81</v>
      </c>
      <c r="D146" s="31">
        <f>L40</f>
        <v>767303.16</v>
      </c>
      <c r="E146" s="26"/>
      <c r="F146" s="143" t="s">
        <v>124</v>
      </c>
      <c r="G146" s="144"/>
      <c r="H146" s="144"/>
      <c r="I146" s="144"/>
      <c r="J146" s="145"/>
    </row>
    <row r="147" spans="3:13" ht="27" customHeight="1" thickBot="1" x14ac:dyDescent="0.3">
      <c r="C147" s="54" t="s">
        <v>82</v>
      </c>
      <c r="D147" s="32">
        <f>L52</f>
        <v>1104250.128</v>
      </c>
      <c r="E147" s="33"/>
      <c r="F147" s="153" t="s">
        <v>123</v>
      </c>
      <c r="G147" s="154"/>
      <c r="H147" s="154"/>
      <c r="I147" s="154"/>
      <c r="J147" s="155"/>
      <c r="K147" s="26"/>
      <c r="L147" s="26"/>
    </row>
    <row r="148" spans="3:13" ht="27" customHeight="1" thickBot="1" x14ac:dyDescent="0.3">
      <c r="C148" s="54" t="s">
        <v>83</v>
      </c>
      <c r="D148" s="32">
        <f>L62</f>
        <v>3065994.7779999999</v>
      </c>
      <c r="E148" s="33"/>
      <c r="F148" s="33"/>
      <c r="G148" s="26"/>
      <c r="H148" s="26"/>
      <c r="I148" s="26"/>
      <c r="J148" s="26"/>
      <c r="K148" s="26"/>
      <c r="L148" s="26"/>
    </row>
    <row r="149" spans="3:13" ht="27" customHeight="1" thickBot="1" x14ac:dyDescent="0.3">
      <c r="C149" s="54" t="s">
        <v>84</v>
      </c>
      <c r="D149" s="32">
        <f>L75</f>
        <v>2197540.2680000002</v>
      </c>
      <c r="E149" s="33"/>
      <c r="F149" s="161" t="s">
        <v>126</v>
      </c>
      <c r="G149" s="162"/>
      <c r="H149" s="162"/>
      <c r="I149" s="163"/>
    </row>
    <row r="150" spans="3:13" ht="27" customHeight="1" x14ac:dyDescent="0.25">
      <c r="C150" s="54" t="s">
        <v>75</v>
      </c>
      <c r="D150" s="32">
        <f>L90</f>
        <v>642690.45499999996</v>
      </c>
      <c r="E150" s="33"/>
      <c r="F150" s="156" t="s">
        <v>141</v>
      </c>
      <c r="G150" s="157"/>
      <c r="H150" s="34"/>
      <c r="I150" s="44"/>
    </row>
    <row r="151" spans="3:13" ht="27" customHeight="1" x14ac:dyDescent="0.25">
      <c r="C151" s="54" t="s">
        <v>85</v>
      </c>
      <c r="D151" s="32">
        <f>L105</f>
        <v>150507.84</v>
      </c>
      <c r="E151" s="26"/>
      <c r="F151" s="143" t="s">
        <v>127</v>
      </c>
      <c r="G151" s="144"/>
      <c r="H151" s="144" t="s">
        <v>144</v>
      </c>
      <c r="I151" s="145"/>
      <c r="K151" s="1" t="s">
        <v>142</v>
      </c>
      <c r="M151" s="34"/>
    </row>
    <row r="152" spans="3:13" ht="27" customHeight="1" x14ac:dyDescent="0.25">
      <c r="C152" s="54" t="s">
        <v>138</v>
      </c>
      <c r="D152" s="32">
        <f>L112</f>
        <v>654233.58000000007</v>
      </c>
      <c r="E152" s="26"/>
      <c r="F152" s="143" t="s">
        <v>143</v>
      </c>
      <c r="G152" s="144"/>
      <c r="H152" s="144" t="s">
        <v>146</v>
      </c>
      <c r="I152" s="145"/>
      <c r="M152" s="34"/>
    </row>
    <row r="153" spans="3:13" ht="27" customHeight="1" thickBot="1" x14ac:dyDescent="0.3">
      <c r="C153" s="54" t="s">
        <v>86</v>
      </c>
      <c r="D153" s="32">
        <f>L130</f>
        <v>1289760</v>
      </c>
      <c r="E153" s="26"/>
      <c r="F153" s="43" t="s">
        <v>142</v>
      </c>
      <c r="G153" s="34"/>
      <c r="H153" s="34"/>
      <c r="I153" s="44"/>
      <c r="K153" s="1" t="s">
        <v>145</v>
      </c>
    </row>
    <row r="154" spans="3:13" ht="27" customHeight="1" thickBot="1" x14ac:dyDescent="0.4">
      <c r="C154" s="55" t="s">
        <v>87</v>
      </c>
      <c r="D154" s="35">
        <f>SUM(D146:D153)</f>
        <v>9872280.2089999989</v>
      </c>
      <c r="E154" s="26"/>
      <c r="F154" s="158" t="s">
        <v>128</v>
      </c>
      <c r="G154" s="159"/>
      <c r="H154" s="159"/>
      <c r="I154" s="160"/>
    </row>
    <row r="155" spans="3:13" ht="27" customHeight="1" thickBot="1" x14ac:dyDescent="0.3">
      <c r="C155" s="36"/>
      <c r="D155" s="26"/>
      <c r="E155" s="26"/>
      <c r="F155" s="161" t="s">
        <v>132</v>
      </c>
      <c r="G155" s="162"/>
      <c r="H155" s="162"/>
      <c r="I155" s="163"/>
    </row>
    <row r="156" spans="3:13" ht="27" customHeight="1" x14ac:dyDescent="0.3">
      <c r="C156" s="36"/>
      <c r="D156" s="26"/>
      <c r="E156" s="26"/>
      <c r="F156" s="37"/>
      <c r="G156" s="37"/>
      <c r="H156" s="37"/>
      <c r="I156" s="37"/>
      <c r="J156" s="37"/>
      <c r="K156" s="37"/>
      <c r="L156" s="29"/>
    </row>
    <row r="157" spans="3:13" ht="27" customHeight="1" x14ac:dyDescent="0.25">
      <c r="C157" s="167" t="s">
        <v>147</v>
      </c>
      <c r="D157" s="167"/>
      <c r="E157" s="167"/>
      <c r="F157" s="167"/>
      <c r="G157" s="167"/>
      <c r="H157" s="167"/>
      <c r="I157" s="167"/>
      <c r="J157" s="167"/>
      <c r="K157" s="167"/>
      <c r="L157" s="167"/>
    </row>
    <row r="158" spans="3:13" ht="27" customHeight="1" x14ac:dyDescent="0.3">
      <c r="C158" s="36"/>
      <c r="D158" s="26"/>
      <c r="E158" s="26"/>
      <c r="F158" s="37"/>
      <c r="G158" s="37"/>
      <c r="H158" s="37"/>
      <c r="I158" s="37"/>
      <c r="J158" s="37"/>
      <c r="K158" s="37"/>
      <c r="L158" s="29"/>
    </row>
    <row r="159" spans="3:13" ht="27" customHeight="1" x14ac:dyDescent="0.25">
      <c r="C159" s="164" t="s">
        <v>25</v>
      </c>
      <c r="D159" s="164"/>
      <c r="E159" s="164"/>
      <c r="F159" s="164"/>
      <c r="G159" s="164"/>
      <c r="H159" s="164"/>
      <c r="I159" s="164"/>
      <c r="J159" s="164"/>
      <c r="K159" s="164"/>
      <c r="L159" s="165"/>
    </row>
    <row r="160" spans="3:13" ht="27" customHeight="1" x14ac:dyDescent="0.35">
      <c r="C160" s="56" t="s">
        <v>26</v>
      </c>
      <c r="D160" s="57"/>
      <c r="E160" s="57"/>
      <c r="F160" s="58"/>
      <c r="G160" s="26"/>
      <c r="H160" s="26"/>
      <c r="I160" s="26"/>
      <c r="J160" s="26"/>
      <c r="K160" s="27"/>
      <c r="L160" s="29"/>
    </row>
    <row r="161" spans="3:12" ht="27" customHeight="1" x14ac:dyDescent="0.35">
      <c r="C161" s="56" t="s">
        <v>27</v>
      </c>
      <c r="D161" s="57"/>
      <c r="E161" s="57"/>
      <c r="F161" s="58"/>
      <c r="G161" s="26"/>
      <c r="H161" s="26"/>
      <c r="I161" s="26"/>
      <c r="J161" s="26"/>
      <c r="K161" s="27"/>
      <c r="L161" s="29"/>
    </row>
    <row r="162" spans="3:12" ht="27" customHeight="1" x14ac:dyDescent="0.35">
      <c r="C162" s="56" t="s">
        <v>28</v>
      </c>
      <c r="D162" s="57"/>
      <c r="E162" s="57"/>
      <c r="F162" s="58"/>
      <c r="G162" s="26"/>
      <c r="H162" s="26"/>
      <c r="I162" s="26"/>
      <c r="J162" s="26"/>
      <c r="K162" s="27"/>
      <c r="L162" s="29"/>
    </row>
    <row r="163" spans="3:12" ht="27" customHeight="1" x14ac:dyDescent="0.35">
      <c r="C163" s="56" t="s">
        <v>29</v>
      </c>
      <c r="D163" s="57"/>
      <c r="E163" s="57"/>
      <c r="F163" s="58"/>
      <c r="G163" s="26"/>
      <c r="H163" s="26"/>
      <c r="I163" s="26"/>
      <c r="J163" s="26"/>
      <c r="K163" s="27"/>
      <c r="L163" s="29"/>
    </row>
    <row r="164" spans="3:12" ht="27" customHeight="1" x14ac:dyDescent="0.35">
      <c r="C164" s="56" t="s">
        <v>30</v>
      </c>
      <c r="D164" s="57"/>
      <c r="E164" s="57"/>
      <c r="F164" s="58"/>
      <c r="G164" s="26"/>
      <c r="H164" s="26"/>
      <c r="I164" s="26"/>
      <c r="J164" s="26"/>
      <c r="K164" s="27"/>
      <c r="L164" s="29"/>
    </row>
    <row r="165" spans="3:12" ht="27" customHeight="1" x14ac:dyDescent="0.35">
      <c r="C165" s="56" t="s">
        <v>31</v>
      </c>
      <c r="D165" s="57"/>
      <c r="E165" s="57"/>
      <c r="F165" s="58"/>
      <c r="G165" s="26"/>
      <c r="H165" s="26"/>
      <c r="I165" s="26"/>
      <c r="J165" s="26"/>
      <c r="K165" s="27"/>
      <c r="L165" s="29"/>
    </row>
    <row r="166" spans="3:12" ht="27" customHeight="1" x14ac:dyDescent="0.35">
      <c r="C166" s="56" t="s">
        <v>32</v>
      </c>
      <c r="D166" s="57"/>
      <c r="E166" s="57"/>
      <c r="F166" s="58"/>
      <c r="G166" s="26"/>
      <c r="H166" s="26"/>
      <c r="I166" s="26"/>
      <c r="J166" s="26"/>
      <c r="K166" s="27"/>
      <c r="L166" s="29"/>
    </row>
    <row r="167" spans="3:12" ht="50.25" customHeight="1" x14ac:dyDescent="0.35">
      <c r="C167" s="166" t="s">
        <v>131</v>
      </c>
      <c r="D167" s="166"/>
      <c r="E167" s="166"/>
      <c r="F167" s="166"/>
      <c r="G167" s="26"/>
      <c r="H167" s="26"/>
      <c r="I167" s="26"/>
      <c r="J167" s="26"/>
      <c r="K167" s="27"/>
      <c r="L167" s="29"/>
    </row>
    <row r="168" spans="3:12" ht="27" customHeight="1" x14ac:dyDescent="0.35">
      <c r="C168" s="56" t="s">
        <v>129</v>
      </c>
      <c r="D168" s="57"/>
      <c r="E168" s="57"/>
      <c r="F168" s="58"/>
      <c r="G168" s="26"/>
      <c r="H168" s="26"/>
      <c r="I168" s="26"/>
      <c r="J168" s="26"/>
      <c r="K168" s="27"/>
      <c r="L168" s="29"/>
    </row>
    <row r="169" spans="3:12" ht="27" customHeight="1" x14ac:dyDescent="0.35">
      <c r="C169" s="56" t="s">
        <v>130</v>
      </c>
      <c r="D169" s="57"/>
      <c r="E169" s="57"/>
      <c r="F169" s="58"/>
      <c r="G169" s="26"/>
      <c r="H169" s="26"/>
      <c r="I169" s="26"/>
      <c r="J169" s="26"/>
      <c r="K169" s="27"/>
      <c r="L169" s="29"/>
    </row>
    <row r="170" spans="3:12" ht="27" customHeight="1" x14ac:dyDescent="0.35">
      <c r="C170" s="38"/>
      <c r="D170" s="26"/>
      <c r="E170" s="26"/>
      <c r="F170" s="39"/>
      <c r="G170" s="26"/>
      <c r="H170" s="26"/>
      <c r="I170" s="26"/>
      <c r="J170" s="26"/>
      <c r="K170" s="27"/>
      <c r="L170" s="29"/>
    </row>
    <row r="171" spans="3:12" ht="27" customHeight="1" x14ac:dyDescent="0.35">
      <c r="C171" s="38"/>
      <c r="D171" s="26"/>
      <c r="E171" s="26"/>
      <c r="F171" s="39"/>
      <c r="G171" s="26"/>
      <c r="H171" s="26"/>
      <c r="I171" s="26"/>
      <c r="J171" s="26"/>
      <c r="K171" s="27"/>
      <c r="L171" s="29"/>
    </row>
    <row r="172" spans="3:12" ht="27" customHeight="1" x14ac:dyDescent="0.35">
      <c r="C172" s="38"/>
      <c r="D172" s="26"/>
      <c r="E172" s="26"/>
      <c r="F172" s="39"/>
      <c r="G172" s="26"/>
      <c r="H172" s="26"/>
      <c r="I172" s="26"/>
      <c r="J172" s="26"/>
      <c r="K172" s="27"/>
      <c r="L172" s="29"/>
    </row>
    <row r="173" spans="3:12" ht="27" customHeight="1" x14ac:dyDescent="0.35">
      <c r="C173" s="38"/>
      <c r="D173" s="26"/>
      <c r="E173" s="26"/>
      <c r="F173" s="39"/>
      <c r="G173" s="26"/>
      <c r="H173" s="26"/>
      <c r="I173" s="26"/>
      <c r="J173" s="26"/>
      <c r="K173" s="27"/>
      <c r="L173" s="29"/>
    </row>
    <row r="174" spans="3:12" ht="27" customHeight="1" x14ac:dyDescent="0.35">
      <c r="D174" s="26"/>
      <c r="E174" s="26"/>
      <c r="F174" s="26"/>
      <c r="G174" s="26"/>
      <c r="H174" s="26"/>
      <c r="I174" s="26"/>
      <c r="J174" s="26"/>
      <c r="K174" s="27"/>
      <c r="L174" s="29"/>
    </row>
    <row r="175" spans="3:12" ht="27" customHeight="1" x14ac:dyDescent="0.25">
      <c r="C175" s="111" t="s">
        <v>89</v>
      </c>
      <c r="D175" s="111"/>
      <c r="E175" s="111"/>
      <c r="F175" s="111"/>
      <c r="G175" s="111"/>
      <c r="H175" s="111"/>
      <c r="I175" s="111"/>
      <c r="J175" s="111"/>
      <c r="K175" s="111"/>
      <c r="L175" s="112"/>
    </row>
    <row r="176" spans="3:12" ht="27" customHeight="1" thickBot="1" x14ac:dyDescent="0.35">
      <c r="C176" s="59"/>
      <c r="D176" s="59"/>
      <c r="E176" s="57"/>
      <c r="F176" s="57"/>
      <c r="G176" s="59"/>
      <c r="H176" s="59"/>
      <c r="I176" s="59"/>
      <c r="J176" s="59"/>
      <c r="K176" s="59"/>
      <c r="L176" s="60"/>
    </row>
    <row r="177" spans="3:12" ht="27" customHeight="1" x14ac:dyDescent="0.3">
      <c r="C177" s="149" t="s">
        <v>90</v>
      </c>
      <c r="D177" s="150"/>
      <c r="E177" s="61"/>
      <c r="F177" s="62"/>
      <c r="G177" s="151" t="s">
        <v>41</v>
      </c>
      <c r="H177" s="151"/>
      <c r="I177" s="151"/>
      <c r="J177" s="151"/>
      <c r="K177" s="151"/>
      <c r="L177" s="152"/>
    </row>
    <row r="178" spans="3:12" ht="27" customHeight="1" x14ac:dyDescent="0.25">
      <c r="C178" s="63" t="s">
        <v>33</v>
      </c>
      <c r="D178" s="64" t="s">
        <v>44</v>
      </c>
      <c r="E178" s="65"/>
      <c r="F178" s="66"/>
      <c r="G178" s="171" t="s">
        <v>42</v>
      </c>
      <c r="H178" s="171"/>
      <c r="I178" s="171"/>
      <c r="J178" s="171"/>
      <c r="K178" s="171"/>
      <c r="L178" s="172"/>
    </row>
    <row r="179" spans="3:12" ht="27" customHeight="1" x14ac:dyDescent="0.25">
      <c r="C179" s="63" t="s">
        <v>34</v>
      </c>
      <c r="D179" s="64" t="s">
        <v>46</v>
      </c>
      <c r="E179" s="65"/>
      <c r="F179" s="66"/>
      <c r="G179" s="171" t="s">
        <v>38</v>
      </c>
      <c r="H179" s="171"/>
      <c r="I179" s="171"/>
      <c r="J179" s="171"/>
      <c r="K179" s="171"/>
      <c r="L179" s="172"/>
    </row>
    <row r="180" spans="3:12" ht="27" customHeight="1" x14ac:dyDescent="0.25">
      <c r="C180" s="63" t="s">
        <v>35</v>
      </c>
      <c r="D180" s="64" t="s">
        <v>43</v>
      </c>
      <c r="E180" s="65"/>
      <c r="F180" s="66"/>
      <c r="G180" s="171" t="s">
        <v>39</v>
      </c>
      <c r="H180" s="171"/>
      <c r="I180" s="171"/>
      <c r="J180" s="171"/>
      <c r="K180" s="171"/>
      <c r="L180" s="172"/>
    </row>
    <row r="181" spans="3:12" ht="27" customHeight="1" thickBot="1" x14ac:dyDescent="0.3">
      <c r="C181" s="67" t="s">
        <v>36</v>
      </c>
      <c r="D181" s="68" t="s">
        <v>45</v>
      </c>
      <c r="E181" s="69"/>
      <c r="F181" s="70"/>
      <c r="G181" s="173" t="s">
        <v>40</v>
      </c>
      <c r="H181" s="173"/>
      <c r="I181" s="173"/>
      <c r="J181" s="173"/>
      <c r="K181" s="173"/>
      <c r="L181" s="174"/>
    </row>
    <row r="182" spans="3:12" ht="27" customHeight="1" x14ac:dyDescent="0.35">
      <c r="C182" s="57"/>
      <c r="D182" s="57"/>
      <c r="E182" s="57"/>
      <c r="F182" s="57"/>
      <c r="G182" s="57"/>
      <c r="H182" s="57"/>
      <c r="I182" s="57"/>
      <c r="J182" s="57"/>
      <c r="K182" s="71"/>
      <c r="L182" s="60"/>
    </row>
    <row r="183" spans="3:12" ht="27" customHeight="1" thickBot="1" x14ac:dyDescent="0.4">
      <c r="C183" s="57"/>
      <c r="D183" s="57"/>
      <c r="E183" s="57"/>
      <c r="F183" s="57"/>
      <c r="G183" s="57"/>
      <c r="H183" s="57"/>
      <c r="I183" s="57"/>
      <c r="J183" s="57"/>
      <c r="K183" s="71"/>
      <c r="L183" s="60"/>
    </row>
    <row r="184" spans="3:12" ht="27" customHeight="1" x14ac:dyDescent="0.3">
      <c r="C184" s="149" t="s">
        <v>51</v>
      </c>
      <c r="D184" s="150"/>
      <c r="E184" s="61"/>
      <c r="F184" s="62"/>
      <c r="G184" s="151" t="s">
        <v>51</v>
      </c>
      <c r="H184" s="151"/>
      <c r="I184" s="151"/>
      <c r="J184" s="151"/>
      <c r="K184" s="151"/>
      <c r="L184" s="152"/>
    </row>
    <row r="185" spans="3:12" ht="27" customHeight="1" x14ac:dyDescent="0.25">
      <c r="C185" s="63" t="s">
        <v>48</v>
      </c>
      <c r="D185" s="64" t="s">
        <v>49</v>
      </c>
      <c r="E185" s="65"/>
      <c r="F185" s="66"/>
      <c r="G185" s="171" t="s">
        <v>37</v>
      </c>
      <c r="H185" s="171"/>
      <c r="I185" s="171"/>
      <c r="J185" s="171"/>
      <c r="K185" s="171"/>
      <c r="L185" s="172"/>
    </row>
    <row r="186" spans="3:12" ht="27" customHeight="1" x14ac:dyDescent="0.25">
      <c r="C186" s="63" t="s">
        <v>34</v>
      </c>
      <c r="D186" s="64" t="s">
        <v>50</v>
      </c>
      <c r="E186" s="65"/>
      <c r="F186" s="66"/>
      <c r="G186" s="171" t="s">
        <v>38</v>
      </c>
      <c r="H186" s="171"/>
      <c r="I186" s="171"/>
      <c r="J186" s="171"/>
      <c r="K186" s="171"/>
      <c r="L186" s="172"/>
    </row>
    <row r="187" spans="3:12" ht="27" customHeight="1" x14ac:dyDescent="0.25">
      <c r="C187" s="63" t="s">
        <v>35</v>
      </c>
      <c r="D187" s="64" t="s">
        <v>47</v>
      </c>
      <c r="E187" s="65"/>
      <c r="F187" s="66"/>
      <c r="G187" s="171" t="s">
        <v>39</v>
      </c>
      <c r="H187" s="171"/>
      <c r="I187" s="171"/>
      <c r="J187" s="171"/>
      <c r="K187" s="171"/>
      <c r="L187" s="172"/>
    </row>
    <row r="188" spans="3:12" ht="27" customHeight="1" thickBot="1" x14ac:dyDescent="0.3">
      <c r="C188" s="67" t="s">
        <v>36</v>
      </c>
      <c r="D188" s="68"/>
      <c r="E188" s="69"/>
      <c r="F188" s="70"/>
      <c r="G188" s="173" t="s">
        <v>40</v>
      </c>
      <c r="H188" s="173"/>
      <c r="I188" s="173"/>
      <c r="J188" s="173"/>
      <c r="K188" s="173"/>
      <c r="L188" s="174"/>
    </row>
    <row r="189" spans="3:12" x14ac:dyDescent="0.25">
      <c r="C189" s="59"/>
      <c r="D189" s="59"/>
      <c r="E189" s="59"/>
      <c r="F189" s="59"/>
      <c r="G189" s="59"/>
      <c r="H189" s="59"/>
      <c r="I189" s="59"/>
      <c r="J189" s="59"/>
      <c r="K189" s="59"/>
      <c r="L189" s="59"/>
    </row>
    <row r="190" spans="3:12" ht="27" customHeight="1" x14ac:dyDescent="0.25">
      <c r="C190" s="111" t="s">
        <v>93</v>
      </c>
      <c r="D190" s="111"/>
      <c r="E190" s="111"/>
      <c r="F190" s="111"/>
      <c r="G190" s="111"/>
      <c r="H190" s="111"/>
      <c r="I190" s="111"/>
      <c r="J190" s="111"/>
      <c r="K190" s="111"/>
      <c r="L190" s="112"/>
    </row>
    <row r="191" spans="3:12" ht="27" customHeight="1" x14ac:dyDescent="0.25"/>
    <row r="192" spans="3:12" ht="27" customHeight="1" x14ac:dyDescent="0.25">
      <c r="C192" s="40" t="s">
        <v>94</v>
      </c>
      <c r="D192" s="40"/>
      <c r="E192" s="40"/>
      <c r="F192" s="40"/>
      <c r="G192" s="40"/>
      <c r="H192" s="40"/>
      <c r="I192" s="40"/>
      <c r="J192" s="40"/>
      <c r="K192" s="40"/>
      <c r="L192" s="40"/>
    </row>
    <row r="193" spans="3:12" ht="27" customHeight="1" x14ac:dyDescent="0.25">
      <c r="C193" s="41" t="s">
        <v>94</v>
      </c>
      <c r="D193" s="41"/>
      <c r="E193" s="41"/>
      <c r="F193" s="41"/>
      <c r="G193" s="41"/>
      <c r="H193" s="41"/>
      <c r="I193" s="41"/>
      <c r="J193" s="41"/>
      <c r="K193" s="41"/>
      <c r="L193" s="41"/>
    </row>
    <row r="194" spans="3:12" ht="27" customHeight="1" x14ac:dyDescent="0.25">
      <c r="C194" s="41" t="s">
        <v>94</v>
      </c>
      <c r="D194" s="41"/>
      <c r="E194" s="41"/>
      <c r="F194" s="41"/>
      <c r="G194" s="41"/>
      <c r="H194" s="41"/>
      <c r="I194" s="41"/>
      <c r="J194" s="41"/>
      <c r="K194" s="41"/>
      <c r="L194" s="41"/>
    </row>
    <row r="195" spans="3:12" ht="27" customHeight="1" x14ac:dyDescent="0.25">
      <c r="C195" s="41" t="s">
        <v>94</v>
      </c>
      <c r="D195" s="41"/>
      <c r="E195" s="41"/>
      <c r="F195" s="41"/>
      <c r="G195" s="41"/>
      <c r="H195" s="41"/>
      <c r="I195" s="41"/>
      <c r="J195" s="41"/>
      <c r="K195" s="41"/>
      <c r="L195" s="41"/>
    </row>
    <row r="196" spans="3:12" ht="27" customHeight="1" x14ac:dyDescent="0.25">
      <c r="C196" s="41" t="s">
        <v>94</v>
      </c>
      <c r="D196" s="41"/>
      <c r="E196" s="41"/>
      <c r="F196" s="41"/>
      <c r="G196" s="41"/>
      <c r="H196" s="41"/>
      <c r="I196" s="41"/>
      <c r="J196" s="41"/>
      <c r="K196" s="41"/>
      <c r="L196" s="41"/>
    </row>
    <row r="197" spans="3:12" ht="27" customHeight="1" x14ac:dyDescent="0.25">
      <c r="C197" s="41" t="s">
        <v>94</v>
      </c>
      <c r="D197" s="41"/>
      <c r="E197" s="41"/>
      <c r="F197" s="41"/>
      <c r="G197" s="41"/>
      <c r="H197" s="41"/>
      <c r="I197" s="41"/>
      <c r="J197" s="41"/>
      <c r="K197" s="41"/>
      <c r="L197" s="41"/>
    </row>
    <row r="198" spans="3:12" ht="27" customHeight="1" x14ac:dyDescent="0.25">
      <c r="C198" s="41" t="s">
        <v>94</v>
      </c>
      <c r="D198" s="41"/>
      <c r="E198" s="41"/>
      <c r="F198" s="41"/>
      <c r="G198" s="41"/>
      <c r="H198" s="41"/>
      <c r="I198" s="41"/>
      <c r="J198" s="41"/>
      <c r="K198" s="41"/>
      <c r="L198" s="41"/>
    </row>
    <row r="199" spans="3:12" ht="27" customHeight="1" x14ac:dyDescent="0.25">
      <c r="C199" s="41" t="s">
        <v>94</v>
      </c>
      <c r="D199" s="41"/>
      <c r="E199" s="41"/>
      <c r="F199" s="41"/>
      <c r="G199" s="41"/>
      <c r="H199" s="41"/>
      <c r="I199" s="41"/>
      <c r="J199" s="41"/>
      <c r="K199" s="41"/>
      <c r="L199" s="41"/>
    </row>
    <row r="200" spans="3:12" ht="27" customHeight="1" x14ac:dyDescent="0.25">
      <c r="C200" s="41" t="s">
        <v>94</v>
      </c>
      <c r="D200" s="41"/>
      <c r="E200" s="41"/>
      <c r="F200" s="41"/>
      <c r="G200" s="41"/>
      <c r="H200" s="41"/>
      <c r="I200" s="41"/>
      <c r="J200" s="41"/>
      <c r="K200" s="41"/>
      <c r="L200" s="41"/>
    </row>
    <row r="201" spans="3:12" ht="27" customHeight="1" x14ac:dyDescent="0.25">
      <c r="C201" s="41" t="s">
        <v>94</v>
      </c>
      <c r="D201" s="41"/>
      <c r="E201" s="41"/>
      <c r="F201" s="41"/>
      <c r="G201" s="41"/>
      <c r="H201" s="41"/>
      <c r="I201" s="41"/>
      <c r="J201" s="41"/>
      <c r="K201" s="41"/>
      <c r="L201" s="41"/>
    </row>
    <row r="202" spans="3:12" ht="27" customHeight="1" x14ac:dyDescent="0.25">
      <c r="C202" s="41" t="s">
        <v>94</v>
      </c>
      <c r="D202" s="41"/>
      <c r="E202" s="41"/>
      <c r="F202" s="41"/>
      <c r="G202" s="41"/>
      <c r="H202" s="41"/>
      <c r="I202" s="41"/>
      <c r="J202" s="41"/>
      <c r="K202" s="41"/>
      <c r="L202" s="41"/>
    </row>
    <row r="203" spans="3:12" ht="27" customHeight="1" x14ac:dyDescent="0.25">
      <c r="C203" s="41" t="s">
        <v>94</v>
      </c>
      <c r="D203" s="41"/>
      <c r="E203" s="41"/>
      <c r="F203" s="41"/>
      <c r="G203" s="41"/>
      <c r="H203" s="41"/>
      <c r="I203" s="41"/>
      <c r="J203" s="41"/>
      <c r="K203" s="41"/>
      <c r="L203" s="41"/>
    </row>
    <row r="204" spans="3:12" ht="27" customHeight="1" thickBot="1" x14ac:dyDescent="0.3"/>
    <row r="205" spans="3:12" ht="27" customHeight="1" thickBot="1" x14ac:dyDescent="0.3">
      <c r="C205" s="168" t="s">
        <v>91</v>
      </c>
      <c r="D205" s="169"/>
      <c r="G205" s="168" t="str">
        <f>D22</f>
        <v>ÖZ YILDIRIM İNŞAAT LTD.ŞTİ</v>
      </c>
      <c r="H205" s="170"/>
      <c r="I205" s="170"/>
      <c r="J205" s="170"/>
      <c r="K205" s="170"/>
      <c r="L205" s="169"/>
    </row>
    <row r="206" spans="3:12" ht="27" customHeight="1" x14ac:dyDescent="0.25"/>
    <row r="207" spans="3:12" ht="27" customHeight="1" x14ac:dyDescent="0.25"/>
    <row r="208" spans="3:12" ht="27" customHeight="1" x14ac:dyDescent="0.25"/>
    <row r="209" spans="3:11" ht="27" customHeight="1" x14ac:dyDescent="0.25"/>
    <row r="210" spans="3:11" ht="27" customHeight="1" x14ac:dyDescent="0.25"/>
    <row r="211" spans="3:11" ht="27" customHeight="1" x14ac:dyDescent="0.25"/>
    <row r="212" spans="3:11" ht="27" customHeight="1" x14ac:dyDescent="0.25"/>
    <row r="213" spans="3:11" ht="27" customHeight="1" x14ac:dyDescent="0.25"/>
    <row r="214" spans="3:11" ht="27" customHeight="1" x14ac:dyDescent="0.25"/>
    <row r="215" spans="3:11" ht="27" customHeight="1" x14ac:dyDescent="0.25"/>
    <row r="216" spans="3:11" ht="27" customHeight="1" x14ac:dyDescent="0.25"/>
    <row r="217" spans="3:11" ht="27" customHeight="1" x14ac:dyDescent="0.25"/>
    <row r="218" spans="3:11" ht="27" customHeight="1" x14ac:dyDescent="0.25"/>
    <row r="219" spans="3:11" ht="27" customHeight="1" x14ac:dyDescent="0.25"/>
    <row r="220" spans="3:11" ht="27" customHeight="1" x14ac:dyDescent="0.25"/>
    <row r="222" spans="3:11" x14ac:dyDescent="0.25">
      <c r="C222" s="26"/>
      <c r="D222" s="26"/>
      <c r="E222" s="26"/>
      <c r="F222" s="26"/>
      <c r="G222" s="26"/>
      <c r="H222" s="26"/>
      <c r="I222" s="26"/>
      <c r="J222" s="26"/>
      <c r="K222" s="15"/>
    </row>
  </sheetData>
  <sheetProtection selectLockedCells="1"/>
  <mergeCells count="73">
    <mergeCell ref="C205:D205"/>
    <mergeCell ref="G205:L205"/>
    <mergeCell ref="G178:L178"/>
    <mergeCell ref="G179:L179"/>
    <mergeCell ref="G180:L180"/>
    <mergeCell ref="G181:L181"/>
    <mergeCell ref="C184:D184"/>
    <mergeCell ref="G184:L184"/>
    <mergeCell ref="G185:L185"/>
    <mergeCell ref="G186:L186"/>
    <mergeCell ref="G187:L187"/>
    <mergeCell ref="G188:L188"/>
    <mergeCell ref="C190:L190"/>
    <mergeCell ref="C177:D177"/>
    <mergeCell ref="G177:L177"/>
    <mergeCell ref="F146:J146"/>
    <mergeCell ref="F147:J147"/>
    <mergeCell ref="F150:G150"/>
    <mergeCell ref="F151:G151"/>
    <mergeCell ref="F152:G152"/>
    <mergeCell ref="H151:I151"/>
    <mergeCell ref="H152:I152"/>
    <mergeCell ref="F154:I154"/>
    <mergeCell ref="F155:I155"/>
    <mergeCell ref="F149:I149"/>
    <mergeCell ref="C159:L159"/>
    <mergeCell ref="C167:F167"/>
    <mergeCell ref="C175:L175"/>
    <mergeCell ref="C157:L157"/>
    <mergeCell ref="C145:D145"/>
    <mergeCell ref="F145:J145"/>
    <mergeCell ref="D122:F122"/>
    <mergeCell ref="D123:F123"/>
    <mergeCell ref="D124:F124"/>
    <mergeCell ref="D125:F125"/>
    <mergeCell ref="D126:F126"/>
    <mergeCell ref="D127:F127"/>
    <mergeCell ref="F144:J144"/>
    <mergeCell ref="D121:F121"/>
    <mergeCell ref="C45:L45"/>
    <mergeCell ref="C57:L57"/>
    <mergeCell ref="C68:L68"/>
    <mergeCell ref="C82:L82"/>
    <mergeCell ref="C96:L96"/>
    <mergeCell ref="C115:L115"/>
    <mergeCell ref="C107:L107"/>
    <mergeCell ref="D116:F116"/>
    <mergeCell ref="D117:F117"/>
    <mergeCell ref="D118:F118"/>
    <mergeCell ref="D119:F119"/>
    <mergeCell ref="D120:F120"/>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37">
      <formula1>0</formula1>
      <formula2>48</formula2>
    </dataValidation>
    <dataValidation type="whole" allowBlank="1" showInputMessage="1" showErrorMessage="1" sqref="I47:I49 I59 I70:I72 I84:I87 I98:I102 I109">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30722"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30723"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30724"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30725"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30726"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30727"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30728"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30729"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30730" r:id="rId13" name="Check Box 10">
              <controlPr defaultSize="0" autoFill="0" autoLine="0" autoPict="0">
                <anchor moveWithCells="1">
                  <from>
                    <xdr:col>6</xdr:col>
                    <xdr:colOff>685800</xdr:colOff>
                    <xdr:row>144</xdr:row>
                    <xdr:rowOff>28575</xdr:rowOff>
                  </from>
                  <to>
                    <xdr:col>8</xdr:col>
                    <xdr:colOff>190500</xdr:colOff>
                    <xdr:row>144</xdr:row>
                    <xdr:rowOff>285750</xdr:rowOff>
                  </to>
                </anchor>
              </controlPr>
            </control>
          </mc:Choice>
        </mc:AlternateContent>
        <mc:AlternateContent xmlns:mc="http://schemas.openxmlformats.org/markup-compatibility/2006">
          <mc:Choice Requires="x14">
            <control shapeId="30731" r:id="rId14" name="Check Box 11">
              <controlPr defaultSize="0" autoFill="0" autoLine="0" autoPict="0">
                <anchor moveWithCells="1">
                  <from>
                    <xdr:col>5</xdr:col>
                    <xdr:colOff>1276350</xdr:colOff>
                    <xdr:row>144</xdr:row>
                    <xdr:rowOff>323850</xdr:rowOff>
                  </from>
                  <to>
                    <xdr:col>8</xdr:col>
                    <xdr:colOff>695325</xdr:colOff>
                    <xdr:row>145</xdr:row>
                    <xdr:rowOff>323850</xdr:rowOff>
                  </to>
                </anchor>
              </controlPr>
            </control>
          </mc:Choice>
        </mc:AlternateContent>
        <mc:AlternateContent xmlns:mc="http://schemas.openxmlformats.org/markup-compatibility/2006">
          <mc:Choice Requires="x14">
            <control shapeId="30732" r:id="rId15" name="Check Box 12">
              <controlPr defaultSize="0" autoFill="0" autoLine="0" autoPict="0">
                <anchor moveWithCells="1">
                  <from>
                    <xdr:col>6</xdr:col>
                    <xdr:colOff>295275</xdr:colOff>
                    <xdr:row>145</xdr:row>
                    <xdr:rowOff>333375</xdr:rowOff>
                  </from>
                  <to>
                    <xdr:col>8</xdr:col>
                    <xdr:colOff>9525</xdr:colOff>
                    <xdr:row>147</xdr:row>
                    <xdr:rowOff>0</xdr:rowOff>
                  </to>
                </anchor>
              </controlPr>
            </control>
          </mc:Choice>
        </mc:AlternateContent>
        <mc:AlternateContent xmlns:mc="http://schemas.openxmlformats.org/markup-compatibility/2006">
          <mc:Choice Requires="x14">
            <control shapeId="30733" r:id="rId16" name="Check Box 13">
              <controlPr defaultSize="0" autoFill="0" autoLine="0" autoPict="0">
                <anchor moveWithCells="1">
                  <from>
                    <xdr:col>5</xdr:col>
                    <xdr:colOff>171450</xdr:colOff>
                    <xdr:row>150</xdr:row>
                    <xdr:rowOff>57150</xdr:rowOff>
                  </from>
                  <to>
                    <xdr:col>6</xdr:col>
                    <xdr:colOff>1019175</xdr:colOff>
                    <xdr:row>150</xdr:row>
                    <xdr:rowOff>314325</xdr:rowOff>
                  </to>
                </anchor>
              </controlPr>
            </control>
          </mc:Choice>
        </mc:AlternateContent>
        <mc:AlternateContent xmlns:mc="http://schemas.openxmlformats.org/markup-compatibility/2006">
          <mc:Choice Requires="x14">
            <control shapeId="30734" r:id="rId17" name="Check Box 14">
              <controlPr defaultSize="0" autoFill="0" autoLine="0" autoPict="0">
                <anchor moveWithCells="1">
                  <from>
                    <xdr:col>5</xdr:col>
                    <xdr:colOff>952500</xdr:colOff>
                    <xdr:row>149</xdr:row>
                    <xdr:rowOff>28575</xdr:rowOff>
                  </from>
                  <to>
                    <xdr:col>6</xdr:col>
                    <xdr:colOff>419100</xdr:colOff>
                    <xdr:row>149</xdr:row>
                    <xdr:rowOff>276225</xdr:rowOff>
                  </to>
                </anchor>
              </controlPr>
            </control>
          </mc:Choice>
        </mc:AlternateContent>
        <mc:AlternateContent xmlns:mc="http://schemas.openxmlformats.org/markup-compatibility/2006">
          <mc:Choice Requires="x14">
            <control shapeId="30735" r:id="rId18" name="Check Box 15">
              <controlPr defaultSize="0" autoFill="0" autoLine="0" autoPict="0">
                <anchor moveWithCells="1">
                  <from>
                    <xdr:col>5</xdr:col>
                    <xdr:colOff>180975</xdr:colOff>
                    <xdr:row>151</xdr:row>
                    <xdr:rowOff>38100</xdr:rowOff>
                  </from>
                  <to>
                    <xdr:col>6</xdr:col>
                    <xdr:colOff>990600</xdr:colOff>
                    <xdr:row>151</xdr:row>
                    <xdr:rowOff>295275</xdr:rowOff>
                  </to>
                </anchor>
              </controlPr>
            </control>
          </mc:Choice>
        </mc:AlternateContent>
        <mc:AlternateContent xmlns:mc="http://schemas.openxmlformats.org/markup-compatibility/2006">
          <mc:Choice Requires="x14">
            <control shapeId="30736" r:id="rId19" name="Check Box 16">
              <controlPr defaultSize="0" autoFill="0" autoLine="0" autoPict="0">
                <anchor moveWithCells="1">
                  <from>
                    <xdr:col>7</xdr:col>
                    <xdr:colOff>257175</xdr:colOff>
                    <xdr:row>150</xdr:row>
                    <xdr:rowOff>57150</xdr:rowOff>
                  </from>
                  <to>
                    <xdr:col>8</xdr:col>
                    <xdr:colOff>971550</xdr:colOff>
                    <xdr:row>150</xdr:row>
                    <xdr:rowOff>285750</xdr:rowOff>
                  </to>
                </anchor>
              </controlPr>
            </control>
          </mc:Choice>
        </mc:AlternateContent>
        <mc:AlternateContent xmlns:mc="http://schemas.openxmlformats.org/markup-compatibility/2006">
          <mc:Choice Requires="x14">
            <control shapeId="30737" r:id="rId20" name="Check Box 17">
              <controlPr defaultSize="0" autoFill="0" autoLine="0" autoPict="0">
                <anchor moveWithCells="1">
                  <from>
                    <xdr:col>7</xdr:col>
                    <xdr:colOff>866775</xdr:colOff>
                    <xdr:row>151</xdr:row>
                    <xdr:rowOff>38100</xdr:rowOff>
                  </from>
                  <to>
                    <xdr:col>8</xdr:col>
                    <xdr:colOff>476250</xdr:colOff>
                    <xdr:row>151</xdr:row>
                    <xdr:rowOff>295275</xdr:rowOff>
                  </to>
                </anchor>
              </controlPr>
            </control>
          </mc:Choice>
        </mc:AlternateContent>
        <mc:AlternateContent xmlns:mc="http://schemas.openxmlformats.org/markup-compatibility/2006">
          <mc:Choice Requires="x14">
            <control shapeId="30738" r:id="rId21" name="Check Box 18">
              <controlPr defaultSize="0" autoFill="0" autoLine="0" autoPict="0">
                <anchor moveWithCells="1">
                  <from>
                    <xdr:col>10</xdr:col>
                    <xdr:colOff>1990725</xdr:colOff>
                    <xdr:row>29</xdr:row>
                    <xdr:rowOff>9525</xdr:rowOff>
                  </from>
                  <to>
                    <xdr:col>11</xdr:col>
                    <xdr:colOff>1619250</xdr:colOff>
                    <xdr:row>29</xdr:row>
                    <xdr:rowOff>304800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149"/>
  <sheetViews>
    <sheetView topLeftCell="A28" zoomScale="70" zoomScaleNormal="70" workbookViewId="0">
      <selection activeCell="E44" sqref="E44"/>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230</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78">
        <v>46080</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229</v>
      </c>
      <c r="E22" s="118"/>
      <c r="F22" s="118"/>
      <c r="G22" s="118"/>
      <c r="H22" s="118"/>
      <c r="I22" s="118"/>
      <c r="J22" s="118"/>
      <c r="K22" s="118"/>
      <c r="L22" s="119"/>
    </row>
    <row r="23" spans="2:12" ht="27" customHeight="1" thickBot="1" x14ac:dyDescent="0.3">
      <c r="B23" s="99"/>
      <c r="C23" s="48" t="s">
        <v>102</v>
      </c>
      <c r="D23" s="120" t="s">
        <v>231</v>
      </c>
      <c r="E23" s="121"/>
      <c r="F23" s="121"/>
      <c r="G23" s="121"/>
      <c r="H23" s="121"/>
      <c r="I23" s="121"/>
      <c r="J23" s="121"/>
      <c r="K23" s="121"/>
      <c r="L23" s="122"/>
    </row>
    <row r="24" spans="2:12" ht="27" customHeight="1" thickBot="1" x14ac:dyDescent="0.3">
      <c r="B24" s="99"/>
      <c r="C24" s="49" t="s">
        <v>103</v>
      </c>
      <c r="D24" s="123" t="s">
        <v>232</v>
      </c>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t="s">
        <v>268</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t="s">
        <v>228</v>
      </c>
      <c r="L30" s="10" t="s">
        <v>233</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t="s">
        <v>269</v>
      </c>
      <c r="D36" s="18" t="s">
        <v>270</v>
      </c>
      <c r="E36" s="19" t="s">
        <v>236</v>
      </c>
      <c r="F36" s="17" t="s">
        <v>237</v>
      </c>
      <c r="G36" s="19">
        <v>42</v>
      </c>
      <c r="H36" s="20">
        <v>28187.18</v>
      </c>
      <c r="I36" s="45">
        <v>45</v>
      </c>
      <c r="J36" s="52" t="s">
        <v>9</v>
      </c>
      <c r="K36" s="72">
        <f>ROUND(H36*(1-I36/100),2)</f>
        <v>15502.95</v>
      </c>
      <c r="L36" s="73">
        <f t="shared" ref="L36:L39" si="0">K36*G36</f>
        <v>651123.9</v>
      </c>
    </row>
    <row r="37" spans="3:12" ht="27" customHeight="1" x14ac:dyDescent="0.3">
      <c r="C37" s="17" t="s">
        <v>238</v>
      </c>
      <c r="D37" s="18" t="s">
        <v>239</v>
      </c>
      <c r="E37" s="19" t="s">
        <v>236</v>
      </c>
      <c r="F37" s="17" t="s">
        <v>237</v>
      </c>
      <c r="G37" s="19">
        <v>82</v>
      </c>
      <c r="H37" s="20">
        <v>16956.98</v>
      </c>
      <c r="I37" s="45">
        <v>45</v>
      </c>
      <c r="J37" s="52" t="s">
        <v>9</v>
      </c>
      <c r="K37" s="72">
        <f t="shared" ref="K37:K39" si="1">ROUND(H37*(1-I37/100),2)</f>
        <v>9326.34</v>
      </c>
      <c r="L37" s="73">
        <f t="shared" si="0"/>
        <v>764759.88</v>
      </c>
    </row>
    <row r="38" spans="3:12" ht="27" customHeight="1" x14ac:dyDescent="0.3">
      <c r="C38" s="17" t="s">
        <v>240</v>
      </c>
      <c r="D38" s="18" t="s">
        <v>241</v>
      </c>
      <c r="E38" s="19" t="s">
        <v>236</v>
      </c>
      <c r="F38" s="17" t="s">
        <v>237</v>
      </c>
      <c r="G38" s="19">
        <v>9</v>
      </c>
      <c r="H38" s="20">
        <v>13982</v>
      </c>
      <c r="I38" s="45">
        <v>45</v>
      </c>
      <c r="J38" s="52" t="s">
        <v>9</v>
      </c>
      <c r="K38" s="72">
        <f t="shared" si="1"/>
        <v>7690.1</v>
      </c>
      <c r="L38" s="73">
        <f t="shared" si="0"/>
        <v>69210.900000000009</v>
      </c>
    </row>
    <row r="39" spans="3:12" ht="27" customHeight="1" x14ac:dyDescent="0.3">
      <c r="C39" s="17" t="s">
        <v>242</v>
      </c>
      <c r="D39" s="18" t="s">
        <v>243</v>
      </c>
      <c r="E39" s="19" t="s">
        <v>236</v>
      </c>
      <c r="F39" s="17" t="s">
        <v>237</v>
      </c>
      <c r="G39" s="19">
        <v>3</v>
      </c>
      <c r="H39" s="20">
        <v>14856.5</v>
      </c>
      <c r="I39" s="45">
        <v>45</v>
      </c>
      <c r="J39" s="52" t="s">
        <v>9</v>
      </c>
      <c r="K39" s="72">
        <f t="shared" si="1"/>
        <v>8171.08</v>
      </c>
      <c r="L39" s="73">
        <f t="shared" si="0"/>
        <v>24513.239999999998</v>
      </c>
    </row>
    <row r="40" spans="3:12" ht="27" customHeight="1" x14ac:dyDescent="0.35">
      <c r="D40" s="15"/>
      <c r="E40" s="15"/>
      <c r="F40" s="15"/>
      <c r="G40" s="16">
        <f>SUM(G36+G37+G38+G39)</f>
        <v>136</v>
      </c>
      <c r="H40" s="6"/>
      <c r="I40" s="6"/>
      <c r="J40" s="15"/>
      <c r="K40" s="42" t="s">
        <v>10</v>
      </c>
      <c r="L40" s="74">
        <f>SUM(L36:L39)</f>
        <v>1509607.92</v>
      </c>
    </row>
    <row r="41" spans="3:12" ht="27" customHeight="1" x14ac:dyDescent="0.35">
      <c r="C41" s="25" t="s">
        <v>149</v>
      </c>
      <c r="D41" s="15"/>
      <c r="E41" s="15"/>
      <c r="F41" s="15"/>
      <c r="G41" s="15"/>
      <c r="H41" s="15"/>
      <c r="I41" s="15"/>
      <c r="J41" s="15"/>
      <c r="K41" s="42" t="s">
        <v>11</v>
      </c>
      <c r="L41" s="75">
        <f>L40*20/100</f>
        <v>301921.58399999997</v>
      </c>
    </row>
    <row r="42" spans="3:12" ht="27" customHeight="1" x14ac:dyDescent="0.35">
      <c r="C42" s="26" t="s">
        <v>12</v>
      </c>
      <c r="D42" s="26"/>
      <c r="E42" s="26" t="s">
        <v>244</v>
      </c>
      <c r="F42" s="26"/>
      <c r="G42" s="26"/>
      <c r="H42" s="26"/>
      <c r="I42" s="26"/>
      <c r="J42" s="26"/>
      <c r="K42" s="42" t="s">
        <v>13</v>
      </c>
      <c r="L42" s="74">
        <f>L41+L40</f>
        <v>1811529.504</v>
      </c>
    </row>
    <row r="43" spans="3:12" ht="27" customHeight="1" x14ac:dyDescent="0.35">
      <c r="C43" s="26" t="s">
        <v>14</v>
      </c>
      <c r="D43" s="26"/>
      <c r="E43" s="26" t="s">
        <v>245</v>
      </c>
      <c r="F43" s="26"/>
      <c r="G43" s="26"/>
      <c r="H43" s="26"/>
      <c r="I43" s="26"/>
      <c r="J43" s="26"/>
      <c r="K43" s="27"/>
      <c r="L43" s="28"/>
    </row>
    <row r="44" spans="3:12" ht="27" customHeight="1" x14ac:dyDescent="0.35">
      <c r="C44" s="26" t="s">
        <v>15</v>
      </c>
      <c r="D44" s="26"/>
      <c r="E44" s="26" t="s">
        <v>246</v>
      </c>
      <c r="F44" s="26"/>
      <c r="G44" s="26"/>
      <c r="H44" s="26"/>
      <c r="I44" s="26"/>
      <c r="J44" s="26"/>
      <c r="K44" s="27"/>
      <c r="L44" s="28"/>
    </row>
    <row r="45" spans="3:12" ht="27" customHeight="1" x14ac:dyDescent="0.35">
      <c r="C45" s="26" t="s">
        <v>148</v>
      </c>
      <c r="D45" s="26"/>
      <c r="E45" s="26"/>
      <c r="F45" s="26"/>
      <c r="G45" s="26"/>
      <c r="H45" s="26"/>
      <c r="I45" s="26"/>
      <c r="J45" s="26"/>
      <c r="K45" s="27"/>
      <c r="L45" s="28"/>
    </row>
    <row r="46" spans="3:12" ht="27" customHeight="1" x14ac:dyDescent="0.35">
      <c r="C46" s="26"/>
      <c r="D46" s="26"/>
      <c r="E46" s="26"/>
      <c r="F46" s="26"/>
      <c r="G46" s="26"/>
      <c r="H46" s="26"/>
      <c r="I46" s="26"/>
      <c r="J46" s="26"/>
      <c r="K46" s="27"/>
      <c r="L46" s="28"/>
    </row>
    <row r="47" spans="3:12" ht="27" customHeight="1" x14ac:dyDescent="0.25">
      <c r="C47" s="111" t="s">
        <v>16</v>
      </c>
      <c r="D47" s="111"/>
      <c r="E47" s="111"/>
      <c r="F47" s="111"/>
      <c r="G47" s="111"/>
      <c r="H47" s="111"/>
      <c r="I47" s="111"/>
      <c r="J47" s="111"/>
      <c r="K47" s="111"/>
      <c r="L47" s="112"/>
    </row>
    <row r="48" spans="3:12" ht="27" customHeight="1" x14ac:dyDescent="0.25">
      <c r="C48" s="51" t="s">
        <v>1</v>
      </c>
      <c r="D48" s="51" t="s">
        <v>2</v>
      </c>
      <c r="E48" s="51" t="s">
        <v>3</v>
      </c>
      <c r="F48" s="51" t="s">
        <v>4</v>
      </c>
      <c r="G48" s="51" t="s">
        <v>5</v>
      </c>
      <c r="H48" s="51" t="s">
        <v>133</v>
      </c>
      <c r="I48" s="51" t="s">
        <v>134</v>
      </c>
      <c r="J48" s="51" t="s">
        <v>6</v>
      </c>
      <c r="K48" s="51" t="s">
        <v>7</v>
      </c>
      <c r="L48" s="51" t="s">
        <v>8</v>
      </c>
    </row>
    <row r="49" spans="3:12" ht="27" customHeight="1" x14ac:dyDescent="0.3">
      <c r="C49" s="17" t="s">
        <v>247</v>
      </c>
      <c r="D49" s="18" t="s">
        <v>248</v>
      </c>
      <c r="E49" s="19" t="s">
        <v>249</v>
      </c>
      <c r="F49" s="17" t="s">
        <v>237</v>
      </c>
      <c r="G49" s="19">
        <v>258</v>
      </c>
      <c r="H49" s="20">
        <v>10237</v>
      </c>
      <c r="I49" s="45">
        <v>40</v>
      </c>
      <c r="J49" s="52" t="s">
        <v>9</v>
      </c>
      <c r="K49" s="72">
        <f>ROUND(H49*(1-I49/100),2)</f>
        <v>6142.2</v>
      </c>
      <c r="L49" s="73">
        <f t="shared" ref="L49:L51" si="2">K49*G49</f>
        <v>1584687.5999999999</v>
      </c>
    </row>
    <row r="50" spans="3:12" ht="27" customHeight="1" x14ac:dyDescent="0.3">
      <c r="C50" s="17" t="s">
        <v>250</v>
      </c>
      <c r="D50" s="18" t="s">
        <v>248</v>
      </c>
      <c r="E50" s="19" t="s">
        <v>251</v>
      </c>
      <c r="F50" s="17" t="s">
        <v>237</v>
      </c>
      <c r="G50" s="19">
        <v>42</v>
      </c>
      <c r="H50" s="20">
        <v>15382.8</v>
      </c>
      <c r="I50" s="45">
        <v>30</v>
      </c>
      <c r="J50" s="52" t="s">
        <v>9</v>
      </c>
      <c r="K50" s="72">
        <f t="shared" ref="K50:K51" si="3">ROUND(H50*(1-I50/100),2)</f>
        <v>10767.96</v>
      </c>
      <c r="L50" s="73">
        <f t="shared" si="2"/>
        <v>452254.31999999995</v>
      </c>
    </row>
    <row r="51" spans="3:12" ht="27" customHeight="1" x14ac:dyDescent="0.3">
      <c r="C51" s="17" t="s">
        <v>252</v>
      </c>
      <c r="D51" s="18" t="s">
        <v>248</v>
      </c>
      <c r="E51" s="19" t="s">
        <v>253</v>
      </c>
      <c r="F51" s="17" t="s">
        <v>237</v>
      </c>
      <c r="G51" s="19">
        <v>14</v>
      </c>
      <c r="H51" s="20">
        <v>13838.6</v>
      </c>
      <c r="I51" s="45">
        <v>30</v>
      </c>
      <c r="J51" s="52" t="s">
        <v>9</v>
      </c>
      <c r="K51" s="72">
        <f t="shared" si="3"/>
        <v>9687.02</v>
      </c>
      <c r="L51" s="73">
        <f t="shared" si="2"/>
        <v>135618.28</v>
      </c>
    </row>
    <row r="52" spans="3:12" ht="27" customHeight="1" x14ac:dyDescent="0.35">
      <c r="D52" s="15"/>
      <c r="E52" s="15"/>
      <c r="F52" s="15"/>
      <c r="G52" s="16">
        <f>SUM(G49+G50+G51)</f>
        <v>314</v>
      </c>
      <c r="H52" s="6"/>
      <c r="I52" s="6"/>
      <c r="J52" s="15"/>
      <c r="K52" s="42" t="s">
        <v>10</v>
      </c>
      <c r="L52" s="74">
        <f>SUM(L49:L51)</f>
        <v>2172560.1999999997</v>
      </c>
    </row>
    <row r="53" spans="3:12" ht="27" customHeight="1" x14ac:dyDescent="0.35">
      <c r="C53" s="25" t="s">
        <v>150</v>
      </c>
      <c r="D53" s="15"/>
      <c r="E53" s="15"/>
      <c r="F53" s="15"/>
      <c r="G53" s="15"/>
      <c r="H53" s="15"/>
      <c r="I53" s="15"/>
      <c r="J53" s="15"/>
      <c r="K53" s="42" t="s">
        <v>11</v>
      </c>
      <c r="L53" s="75">
        <f>L52*20/100</f>
        <v>434512.03999999992</v>
      </c>
    </row>
    <row r="54" spans="3:12" ht="27" customHeight="1" x14ac:dyDescent="0.35">
      <c r="C54" s="26" t="s">
        <v>254</v>
      </c>
      <c r="D54" s="26" t="s">
        <v>256</v>
      </c>
      <c r="E54" s="26" t="s">
        <v>259</v>
      </c>
      <c r="F54" s="26"/>
      <c r="G54" s="26"/>
      <c r="H54" s="26"/>
      <c r="I54" s="26"/>
      <c r="J54" s="26"/>
      <c r="K54" s="42" t="s">
        <v>13</v>
      </c>
      <c r="L54" s="74">
        <f>L53+L52</f>
        <v>2607072.2399999998</v>
      </c>
    </row>
    <row r="55" spans="3:12" ht="27" customHeight="1" x14ac:dyDescent="0.35">
      <c r="C55" s="26" t="s">
        <v>255</v>
      </c>
      <c r="D55" s="26" t="s">
        <v>271</v>
      </c>
      <c r="E55" s="26"/>
      <c r="F55" s="26"/>
      <c r="G55" s="26"/>
      <c r="H55" s="26"/>
      <c r="I55" s="26"/>
      <c r="J55" s="26"/>
      <c r="K55" s="27"/>
      <c r="L55" s="28"/>
    </row>
    <row r="56" spans="3:12" ht="27" customHeight="1" x14ac:dyDescent="0.35">
      <c r="C56" s="26" t="s">
        <v>19</v>
      </c>
      <c r="D56" s="26" t="s">
        <v>257</v>
      </c>
      <c r="E56" s="26"/>
      <c r="F56" s="26"/>
      <c r="G56" s="26"/>
      <c r="H56" s="26"/>
      <c r="I56" s="26"/>
      <c r="J56" s="26"/>
      <c r="K56" s="27"/>
      <c r="L56" s="28"/>
    </row>
    <row r="57" spans="3:12" ht="27" customHeight="1" x14ac:dyDescent="0.35">
      <c r="C57" s="26" t="s">
        <v>20</v>
      </c>
      <c r="D57" s="26" t="s">
        <v>258</v>
      </c>
      <c r="E57" s="26"/>
      <c r="F57" s="26"/>
      <c r="G57" s="26"/>
      <c r="H57" s="26"/>
      <c r="I57" s="26"/>
      <c r="J57" s="26"/>
      <c r="K57" s="27"/>
      <c r="L57" s="28"/>
    </row>
    <row r="58" spans="3:12" ht="27" customHeight="1" x14ac:dyDescent="0.35">
      <c r="D58" s="26"/>
      <c r="E58" s="26"/>
      <c r="F58" s="26"/>
      <c r="G58" s="26"/>
      <c r="H58" s="26"/>
      <c r="I58" s="26"/>
      <c r="J58" s="26"/>
      <c r="K58" s="27"/>
      <c r="L58" s="28"/>
    </row>
    <row r="59" spans="3:12" ht="27" customHeight="1" x14ac:dyDescent="0.35">
      <c r="C59" s="26"/>
      <c r="D59" s="26"/>
      <c r="E59" s="26"/>
      <c r="F59" s="26"/>
      <c r="G59" s="26"/>
      <c r="H59" s="26"/>
      <c r="I59" s="26"/>
      <c r="J59" s="26"/>
      <c r="K59" s="27"/>
      <c r="L59" s="28"/>
    </row>
    <row r="60" spans="3:12" ht="27" customHeight="1" x14ac:dyDescent="0.25">
      <c r="C60" s="111" t="s">
        <v>78</v>
      </c>
      <c r="D60" s="111"/>
      <c r="E60" s="111"/>
      <c r="F60" s="111"/>
      <c r="G60" s="111"/>
      <c r="H60" s="111"/>
      <c r="I60" s="111"/>
      <c r="J60" s="111"/>
      <c r="K60" s="111"/>
      <c r="L60" s="112"/>
    </row>
    <row r="61" spans="3:12" ht="27" customHeight="1" x14ac:dyDescent="0.25">
      <c r="C61" s="51" t="s">
        <v>1</v>
      </c>
      <c r="D61" s="138" t="s">
        <v>2</v>
      </c>
      <c r="E61" s="139"/>
      <c r="F61" s="140"/>
      <c r="G61" s="51" t="s">
        <v>5</v>
      </c>
      <c r="H61" s="16"/>
      <c r="I61" s="16"/>
      <c r="J61" s="51" t="s">
        <v>6</v>
      </c>
      <c r="K61" s="51" t="s">
        <v>7</v>
      </c>
      <c r="L61" s="51" t="s">
        <v>8</v>
      </c>
    </row>
    <row r="62" spans="3:12" ht="27" customHeight="1" x14ac:dyDescent="0.3">
      <c r="C62" s="17" t="s">
        <v>234</v>
      </c>
      <c r="D62" s="135" t="s">
        <v>235</v>
      </c>
      <c r="E62" s="136"/>
      <c r="F62" s="137"/>
      <c r="G62" s="19">
        <v>42</v>
      </c>
      <c r="H62" s="19"/>
      <c r="I62" s="19"/>
      <c r="J62" s="52" t="s">
        <v>9</v>
      </c>
      <c r="K62" s="21">
        <v>2150</v>
      </c>
      <c r="L62" s="73">
        <f t="shared" ref="L62:L68" si="4">K62*G62</f>
        <v>90300</v>
      </c>
    </row>
    <row r="63" spans="3:12" ht="27" customHeight="1" x14ac:dyDescent="0.3">
      <c r="C63" s="17" t="s">
        <v>238</v>
      </c>
      <c r="D63" s="135" t="s">
        <v>239</v>
      </c>
      <c r="E63" s="136"/>
      <c r="F63" s="137"/>
      <c r="G63" s="19">
        <v>82</v>
      </c>
      <c r="H63" s="19"/>
      <c r="I63" s="19"/>
      <c r="J63" s="52" t="s">
        <v>9</v>
      </c>
      <c r="K63" s="21">
        <v>1600</v>
      </c>
      <c r="L63" s="73">
        <f t="shared" si="4"/>
        <v>131200</v>
      </c>
    </row>
    <row r="64" spans="3:12" ht="27" customHeight="1" x14ac:dyDescent="0.3">
      <c r="C64" s="17" t="s">
        <v>240</v>
      </c>
      <c r="D64" s="135" t="s">
        <v>241</v>
      </c>
      <c r="E64" s="136"/>
      <c r="F64" s="137"/>
      <c r="G64" s="19">
        <v>9</v>
      </c>
      <c r="H64" s="19"/>
      <c r="I64" s="19"/>
      <c r="J64" s="52" t="s">
        <v>9</v>
      </c>
      <c r="K64" s="21">
        <v>1300</v>
      </c>
      <c r="L64" s="73">
        <f t="shared" si="4"/>
        <v>11700</v>
      </c>
    </row>
    <row r="65" spans="3:12" ht="27" customHeight="1" x14ac:dyDescent="0.3">
      <c r="C65" s="17" t="s">
        <v>242</v>
      </c>
      <c r="D65" s="135" t="s">
        <v>243</v>
      </c>
      <c r="E65" s="136"/>
      <c r="F65" s="137"/>
      <c r="G65" s="19">
        <v>3</v>
      </c>
      <c r="H65" s="19"/>
      <c r="I65" s="19"/>
      <c r="J65" s="52" t="s">
        <v>9</v>
      </c>
      <c r="K65" s="21">
        <v>1300</v>
      </c>
      <c r="L65" s="73">
        <f t="shared" si="4"/>
        <v>3900</v>
      </c>
    </row>
    <row r="66" spans="3:12" ht="27" customHeight="1" x14ac:dyDescent="0.3">
      <c r="C66" s="17" t="s">
        <v>247</v>
      </c>
      <c r="D66" s="135" t="s">
        <v>248</v>
      </c>
      <c r="E66" s="136"/>
      <c r="F66" s="137"/>
      <c r="G66" s="19">
        <v>258</v>
      </c>
      <c r="H66" s="19"/>
      <c r="I66" s="19"/>
      <c r="J66" s="52" t="s">
        <v>9</v>
      </c>
      <c r="K66" s="21">
        <v>1650</v>
      </c>
      <c r="L66" s="73">
        <f t="shared" si="4"/>
        <v>425700</v>
      </c>
    </row>
    <row r="67" spans="3:12" ht="27" customHeight="1" x14ac:dyDescent="0.3">
      <c r="C67" s="17" t="s">
        <v>250</v>
      </c>
      <c r="D67" s="135" t="s">
        <v>248</v>
      </c>
      <c r="E67" s="136"/>
      <c r="F67" s="137"/>
      <c r="G67" s="19">
        <v>42</v>
      </c>
      <c r="H67" s="19"/>
      <c r="I67" s="19"/>
      <c r="J67" s="52" t="s">
        <v>9</v>
      </c>
      <c r="K67" s="21">
        <v>2200</v>
      </c>
      <c r="L67" s="73">
        <f t="shared" si="4"/>
        <v>92400</v>
      </c>
    </row>
    <row r="68" spans="3:12" ht="27" customHeight="1" x14ac:dyDescent="0.3">
      <c r="C68" s="17" t="s">
        <v>252</v>
      </c>
      <c r="D68" s="135" t="s">
        <v>248</v>
      </c>
      <c r="E68" s="136"/>
      <c r="F68" s="137"/>
      <c r="G68" s="19">
        <v>14</v>
      </c>
      <c r="H68" s="19"/>
      <c r="I68" s="19"/>
      <c r="J68" s="52" t="s">
        <v>9</v>
      </c>
      <c r="K68" s="21">
        <v>2200</v>
      </c>
      <c r="L68" s="73">
        <f t="shared" si="4"/>
        <v>30800</v>
      </c>
    </row>
    <row r="69" spans="3:12" ht="27" customHeight="1" x14ac:dyDescent="0.35">
      <c r="D69" s="15"/>
      <c r="E69" s="15"/>
      <c r="F69" s="15"/>
      <c r="G69" s="16">
        <f>SUM(G62:G68)</f>
        <v>450</v>
      </c>
      <c r="H69" s="6"/>
      <c r="I69" s="6"/>
      <c r="J69" s="15"/>
      <c r="K69" s="42" t="s">
        <v>10</v>
      </c>
      <c r="L69" s="74">
        <f>SUM(L62:L68)</f>
        <v>786000</v>
      </c>
    </row>
    <row r="70" spans="3:12" ht="27" customHeight="1" x14ac:dyDescent="0.35">
      <c r="C70" s="25"/>
      <c r="D70" s="15"/>
      <c r="E70" s="15"/>
      <c r="F70" s="15"/>
      <c r="G70" s="15"/>
      <c r="H70" s="15"/>
      <c r="I70" s="15"/>
      <c r="J70" s="15"/>
      <c r="K70" s="42" t="s">
        <v>11</v>
      </c>
      <c r="L70" s="75">
        <f>L69*20/100</f>
        <v>157200</v>
      </c>
    </row>
    <row r="71" spans="3:12" ht="27" customHeight="1" x14ac:dyDescent="0.35">
      <c r="C71" s="25" t="s">
        <v>158</v>
      </c>
      <c r="D71" s="15"/>
      <c r="E71" s="15"/>
      <c r="F71" s="26"/>
      <c r="G71" s="26"/>
      <c r="H71" s="26"/>
      <c r="I71" s="26"/>
      <c r="J71" s="26"/>
      <c r="K71" s="42" t="s">
        <v>13</v>
      </c>
      <c r="L71" s="74">
        <f>L70+L69</f>
        <v>943200</v>
      </c>
    </row>
    <row r="72" spans="3:12" ht="27" customHeight="1" x14ac:dyDescent="0.35">
      <c r="C72" s="26" t="s">
        <v>62</v>
      </c>
      <c r="D72" s="26"/>
      <c r="E72" s="26" t="s">
        <v>64</v>
      </c>
      <c r="F72" s="26"/>
      <c r="G72" s="26"/>
      <c r="H72" s="26"/>
      <c r="I72" s="26"/>
      <c r="J72" s="26"/>
      <c r="K72" s="27"/>
      <c r="L72" s="29"/>
    </row>
    <row r="73" spans="3:12" ht="27" customHeight="1" x14ac:dyDescent="0.35">
      <c r="C73" s="26" t="s">
        <v>63</v>
      </c>
      <c r="D73" s="26"/>
      <c r="E73" s="26" t="s">
        <v>79</v>
      </c>
      <c r="F73" s="26"/>
      <c r="G73" s="26"/>
      <c r="H73" s="26"/>
      <c r="I73" s="26"/>
      <c r="J73" s="26"/>
      <c r="K73" s="27"/>
      <c r="L73" s="29"/>
    </row>
    <row r="74" spans="3:12" ht="27" customHeight="1" thickBot="1" x14ac:dyDescent="0.4">
      <c r="C74" s="26"/>
      <c r="D74" s="26"/>
      <c r="E74" s="26"/>
      <c r="F74" s="26"/>
      <c r="G74" s="26"/>
      <c r="H74" s="26"/>
      <c r="I74" s="26"/>
      <c r="J74" s="26"/>
      <c r="K74" s="27"/>
      <c r="L74" s="29"/>
    </row>
    <row r="75" spans="3:12" ht="27" customHeight="1" thickBot="1" x14ac:dyDescent="0.4">
      <c r="C75" s="26"/>
      <c r="D75" s="26"/>
      <c r="E75" s="26"/>
      <c r="F75" s="146" t="s">
        <v>125</v>
      </c>
      <c r="G75" s="147"/>
      <c r="H75" s="147"/>
      <c r="I75" s="147"/>
      <c r="J75" s="148"/>
      <c r="K75" s="27"/>
      <c r="L75" s="29"/>
    </row>
    <row r="76" spans="3:12" ht="27" customHeight="1" thickBot="1" x14ac:dyDescent="0.35">
      <c r="C76" s="141" t="s">
        <v>80</v>
      </c>
      <c r="D76" s="142"/>
      <c r="E76" s="26"/>
      <c r="F76" s="143" t="s">
        <v>122</v>
      </c>
      <c r="G76" s="144"/>
      <c r="H76" s="144"/>
      <c r="I76" s="144"/>
      <c r="J76" s="145"/>
      <c r="L76" s="30"/>
    </row>
    <row r="77" spans="3:12" ht="27" customHeight="1" x14ac:dyDescent="0.25">
      <c r="C77" s="53" t="s">
        <v>81</v>
      </c>
      <c r="D77" s="31">
        <f>L42</f>
        <v>1811529.504</v>
      </c>
      <c r="E77" s="26"/>
      <c r="F77" s="143" t="s">
        <v>124</v>
      </c>
      <c r="G77" s="144"/>
      <c r="H77" s="144"/>
      <c r="I77" s="144"/>
      <c r="J77" s="145"/>
    </row>
    <row r="78" spans="3:12" ht="27" customHeight="1" thickBot="1" x14ac:dyDescent="0.3">
      <c r="C78" s="54" t="s">
        <v>82</v>
      </c>
      <c r="D78" s="32">
        <f>L54</f>
        <v>2607072.2399999998</v>
      </c>
      <c r="E78" s="33"/>
      <c r="F78" s="153" t="s">
        <v>123</v>
      </c>
      <c r="G78" s="154"/>
      <c r="H78" s="154"/>
      <c r="I78" s="154"/>
      <c r="J78" s="155"/>
      <c r="K78" s="26"/>
      <c r="L78" s="26"/>
    </row>
    <row r="79" spans="3:12" ht="27" customHeight="1" thickBot="1" x14ac:dyDescent="0.3">
      <c r="C79" s="54" t="s">
        <v>83</v>
      </c>
      <c r="D79" s="32"/>
      <c r="E79" s="33"/>
      <c r="F79" s="33"/>
      <c r="G79" s="26"/>
      <c r="H79" s="26"/>
      <c r="I79" s="26"/>
      <c r="J79" s="26"/>
      <c r="K79" s="26"/>
      <c r="L79" s="26"/>
    </row>
    <row r="80" spans="3:12" ht="27" customHeight="1" thickBot="1" x14ac:dyDescent="0.3">
      <c r="C80" s="54" t="s">
        <v>84</v>
      </c>
      <c r="D80" s="32"/>
      <c r="E80" s="33"/>
      <c r="F80" s="161" t="s">
        <v>126</v>
      </c>
      <c r="G80" s="162"/>
      <c r="H80" s="162"/>
      <c r="I80" s="163"/>
    </row>
    <row r="81" spans="3:13" ht="27" customHeight="1" x14ac:dyDescent="0.25">
      <c r="C81" s="54" t="s">
        <v>75</v>
      </c>
      <c r="D81" s="32"/>
      <c r="E81" s="33"/>
      <c r="F81" s="156" t="s">
        <v>141</v>
      </c>
      <c r="G81" s="157"/>
      <c r="H81" s="34"/>
      <c r="I81" s="44"/>
    </row>
    <row r="82" spans="3:13" ht="27" customHeight="1" x14ac:dyDescent="0.25">
      <c r="C82" s="54" t="s">
        <v>85</v>
      </c>
      <c r="D82" s="32"/>
      <c r="E82" s="26"/>
      <c r="F82" s="143" t="s">
        <v>127</v>
      </c>
      <c r="G82" s="144"/>
      <c r="H82" s="144" t="s">
        <v>144</v>
      </c>
      <c r="I82" s="145"/>
      <c r="K82" s="1" t="s">
        <v>142</v>
      </c>
      <c r="M82" s="34"/>
    </row>
    <row r="83" spans="3:13" ht="27" customHeight="1" x14ac:dyDescent="0.25">
      <c r="C83" s="54" t="s">
        <v>138</v>
      </c>
      <c r="D83" s="32"/>
      <c r="E83" s="26"/>
      <c r="F83" s="143" t="s">
        <v>143</v>
      </c>
      <c r="G83" s="144"/>
      <c r="H83" s="144" t="s">
        <v>146</v>
      </c>
      <c r="I83" s="145"/>
      <c r="M83" s="34"/>
    </row>
    <row r="84" spans="3:13" ht="27" customHeight="1" thickBot="1" x14ac:dyDescent="0.3">
      <c r="C84" s="54" t="s">
        <v>86</v>
      </c>
      <c r="D84" s="32">
        <f>L71</f>
        <v>943200</v>
      </c>
      <c r="E84" s="26"/>
      <c r="F84" s="43" t="s">
        <v>142</v>
      </c>
      <c r="G84" s="34"/>
      <c r="H84" s="34"/>
      <c r="I84" s="44"/>
      <c r="K84" s="1" t="s">
        <v>145</v>
      </c>
    </row>
    <row r="85" spans="3:13" ht="27" customHeight="1" thickBot="1" x14ac:dyDescent="0.4">
      <c r="C85" s="55" t="s">
        <v>87</v>
      </c>
      <c r="D85" s="35">
        <f>SUM(D77:D84)</f>
        <v>5361801.7439999999</v>
      </c>
      <c r="E85" s="26"/>
      <c r="F85" s="158" t="s">
        <v>128</v>
      </c>
      <c r="G85" s="159"/>
      <c r="H85" s="159"/>
      <c r="I85" s="160"/>
    </row>
    <row r="86" spans="3:13" ht="27" customHeight="1" thickBot="1" x14ac:dyDescent="0.3">
      <c r="C86" s="36"/>
      <c r="D86" s="26"/>
      <c r="E86" s="26"/>
      <c r="F86" s="161" t="s">
        <v>132</v>
      </c>
      <c r="G86" s="162"/>
      <c r="H86" s="162"/>
      <c r="I86" s="163"/>
    </row>
    <row r="87" spans="3:13" ht="27" customHeight="1" x14ac:dyDescent="0.3">
      <c r="C87" s="36"/>
      <c r="D87" s="26"/>
      <c r="E87" s="26"/>
      <c r="F87" s="37"/>
      <c r="G87" s="37"/>
      <c r="H87" s="37"/>
      <c r="I87" s="37"/>
      <c r="J87" s="37"/>
      <c r="K87" s="37"/>
      <c r="L87" s="29"/>
    </row>
    <row r="88" spans="3:13" ht="27" customHeight="1" x14ac:dyDescent="0.25">
      <c r="C88" s="167" t="s">
        <v>147</v>
      </c>
      <c r="D88" s="167"/>
      <c r="E88" s="167"/>
      <c r="F88" s="167"/>
      <c r="G88" s="167"/>
      <c r="H88" s="167"/>
      <c r="I88" s="167"/>
      <c r="J88" s="167"/>
      <c r="K88" s="167"/>
      <c r="L88" s="167"/>
    </row>
    <row r="89" spans="3:13" ht="27" customHeight="1" x14ac:dyDescent="0.3">
      <c r="C89" s="36"/>
      <c r="D89" s="26"/>
      <c r="E89" s="26"/>
      <c r="F89" s="37"/>
      <c r="G89" s="37"/>
      <c r="H89" s="37"/>
      <c r="I89" s="37"/>
      <c r="J89" s="37"/>
      <c r="K89" s="37"/>
      <c r="L89" s="29"/>
    </row>
    <row r="90" spans="3:13" ht="27" customHeight="1" x14ac:dyDescent="0.25">
      <c r="C90" s="164" t="s">
        <v>266</v>
      </c>
      <c r="D90" s="164"/>
      <c r="E90" s="164"/>
      <c r="F90" s="164"/>
      <c r="G90" s="164"/>
      <c r="H90" s="164"/>
      <c r="I90" s="164"/>
      <c r="J90" s="164"/>
      <c r="K90" s="164"/>
      <c r="L90" s="165"/>
    </row>
    <row r="91" spans="3:13" ht="27" customHeight="1" x14ac:dyDescent="0.35">
      <c r="C91" s="56"/>
      <c r="D91" s="57"/>
      <c r="E91" s="57"/>
      <c r="F91" s="58"/>
      <c r="G91" s="26"/>
      <c r="H91" s="26"/>
      <c r="I91" s="26"/>
      <c r="J91" s="26"/>
      <c r="K91" s="27"/>
      <c r="L91" s="29"/>
    </row>
    <row r="92" spans="3:13" ht="27" customHeight="1" x14ac:dyDescent="0.35">
      <c r="C92" s="79" t="s">
        <v>261</v>
      </c>
      <c r="D92" s="57"/>
      <c r="E92" s="57"/>
      <c r="F92" s="58"/>
      <c r="G92" s="26"/>
      <c r="H92" s="26"/>
      <c r="I92" s="26"/>
      <c r="J92" s="26"/>
      <c r="K92" s="27"/>
      <c r="L92" s="29"/>
    </row>
    <row r="93" spans="3:13" ht="27" customHeight="1" x14ac:dyDescent="0.35">
      <c r="C93" s="56"/>
      <c r="D93" s="57"/>
      <c r="E93" s="57"/>
      <c r="F93" s="58"/>
      <c r="G93" s="26"/>
      <c r="H93" s="26"/>
      <c r="I93" s="26"/>
      <c r="J93" s="26"/>
      <c r="K93" s="27"/>
      <c r="L93" s="29"/>
    </row>
    <row r="94" spans="3:13" ht="27" customHeight="1" x14ac:dyDescent="0.35">
      <c r="C94" s="80" t="s">
        <v>262</v>
      </c>
      <c r="D94" s="57"/>
      <c r="E94" s="57"/>
      <c r="F94" s="58"/>
      <c r="G94" s="26"/>
      <c r="H94" s="26"/>
      <c r="I94" s="26"/>
      <c r="J94" s="26"/>
      <c r="K94" s="27"/>
      <c r="L94" s="29"/>
    </row>
    <row r="95" spans="3:13" ht="27" customHeight="1" x14ac:dyDescent="0.35">
      <c r="C95" s="56"/>
      <c r="D95" s="57"/>
      <c r="E95" s="57"/>
      <c r="F95" s="58"/>
      <c r="G95" s="26"/>
      <c r="H95" s="26"/>
      <c r="I95" s="26"/>
      <c r="J95" s="26"/>
      <c r="K95" s="27"/>
      <c r="L95" s="29"/>
    </row>
    <row r="96" spans="3:13" ht="27" customHeight="1" x14ac:dyDescent="0.35">
      <c r="C96" s="79" t="s">
        <v>263</v>
      </c>
      <c r="D96" s="57"/>
      <c r="E96" s="57"/>
      <c r="F96" s="81" t="s">
        <v>267</v>
      </c>
      <c r="G96" s="26"/>
      <c r="H96" s="26"/>
      <c r="I96" s="26"/>
      <c r="J96" s="26"/>
      <c r="K96" s="27"/>
      <c r="L96" s="29"/>
    </row>
    <row r="97" spans="3:12" ht="27" customHeight="1" x14ac:dyDescent="0.35">
      <c r="C97" s="38"/>
      <c r="D97" s="26"/>
      <c r="E97" s="26"/>
      <c r="F97" s="39"/>
      <c r="G97" s="26"/>
      <c r="H97" s="26"/>
      <c r="I97" s="26"/>
      <c r="J97" s="26"/>
      <c r="K97" s="27"/>
      <c r="L97" s="29"/>
    </row>
    <row r="98" spans="3:12" ht="27" customHeight="1" x14ac:dyDescent="0.35">
      <c r="C98" s="79" t="s">
        <v>264</v>
      </c>
      <c r="D98" s="26"/>
      <c r="E98" s="26"/>
      <c r="F98" s="39"/>
      <c r="G98" s="26"/>
      <c r="H98" s="26"/>
      <c r="I98" s="26"/>
      <c r="J98" s="26"/>
      <c r="K98" s="27"/>
      <c r="L98" s="29"/>
    </row>
    <row r="99" spans="3:12" ht="27" customHeight="1" x14ac:dyDescent="0.35">
      <c r="C99" s="38"/>
      <c r="D99" s="26"/>
      <c r="E99" s="26"/>
      <c r="F99" s="39"/>
      <c r="G99" s="26"/>
      <c r="H99" s="26"/>
      <c r="I99" s="26"/>
      <c r="J99" s="26"/>
      <c r="K99" s="27"/>
      <c r="L99" s="29"/>
    </row>
    <row r="100" spans="3:12" ht="27" customHeight="1" x14ac:dyDescent="0.35">
      <c r="C100" s="79" t="s">
        <v>265</v>
      </c>
      <c r="D100" s="26"/>
      <c r="E100" s="26"/>
      <c r="F100" s="39"/>
      <c r="G100" s="26"/>
      <c r="H100" s="26"/>
      <c r="I100" s="26"/>
      <c r="J100" s="26"/>
      <c r="K100" s="27"/>
      <c r="L100" s="29"/>
    </row>
    <row r="101" spans="3:12" ht="27" customHeight="1" x14ac:dyDescent="0.35">
      <c r="D101" s="26"/>
      <c r="E101" s="26"/>
      <c r="F101" s="26"/>
      <c r="G101" s="26"/>
      <c r="H101" s="26"/>
      <c r="I101" s="26"/>
      <c r="J101" s="26"/>
      <c r="K101" s="27"/>
      <c r="L101" s="29"/>
    </row>
    <row r="102" spans="3:12" ht="27" customHeight="1" x14ac:dyDescent="0.25">
      <c r="C102" s="111" t="s">
        <v>89</v>
      </c>
      <c r="D102" s="111"/>
      <c r="E102" s="111"/>
      <c r="F102" s="111"/>
      <c r="G102" s="111"/>
      <c r="H102" s="111"/>
      <c r="I102" s="111"/>
      <c r="J102" s="111"/>
      <c r="K102" s="111"/>
      <c r="L102" s="112"/>
    </row>
    <row r="103" spans="3:12" ht="27" customHeight="1" thickBot="1" x14ac:dyDescent="0.35">
      <c r="C103" s="59"/>
      <c r="D103" s="59"/>
      <c r="E103" s="57"/>
      <c r="F103" s="57"/>
      <c r="G103" s="59"/>
      <c r="H103" s="59"/>
      <c r="I103" s="59"/>
      <c r="J103" s="59"/>
      <c r="K103" s="59"/>
      <c r="L103" s="60"/>
    </row>
    <row r="104" spans="3:12" ht="27" customHeight="1" x14ac:dyDescent="0.3">
      <c r="C104" s="149" t="s">
        <v>90</v>
      </c>
      <c r="D104" s="150"/>
      <c r="E104" s="61"/>
      <c r="F104" s="62"/>
      <c r="G104" s="151" t="s">
        <v>41</v>
      </c>
      <c r="H104" s="151"/>
      <c r="I104" s="151"/>
      <c r="J104" s="151"/>
      <c r="K104" s="151"/>
      <c r="L104" s="152"/>
    </row>
    <row r="105" spans="3:12" ht="27" customHeight="1" x14ac:dyDescent="0.25">
      <c r="C105" s="63" t="s">
        <v>33</v>
      </c>
      <c r="D105" s="64" t="s">
        <v>44</v>
      </c>
      <c r="E105" s="65"/>
      <c r="F105" s="66"/>
      <c r="G105" s="171" t="s">
        <v>42</v>
      </c>
      <c r="H105" s="171"/>
      <c r="I105" s="171"/>
      <c r="J105" s="171"/>
      <c r="K105" s="171"/>
      <c r="L105" s="172"/>
    </row>
    <row r="106" spans="3:12" ht="27" customHeight="1" x14ac:dyDescent="0.25">
      <c r="C106" s="63" t="s">
        <v>34</v>
      </c>
      <c r="D106" s="64" t="s">
        <v>46</v>
      </c>
      <c r="E106" s="65"/>
      <c r="F106" s="66"/>
      <c r="G106" s="171" t="s">
        <v>38</v>
      </c>
      <c r="H106" s="171"/>
      <c r="I106" s="171"/>
      <c r="J106" s="171"/>
      <c r="K106" s="171"/>
      <c r="L106" s="172"/>
    </row>
    <row r="107" spans="3:12" ht="27" customHeight="1" x14ac:dyDescent="0.25">
      <c r="C107" s="63" t="s">
        <v>35</v>
      </c>
      <c r="D107" s="64" t="s">
        <v>43</v>
      </c>
      <c r="E107" s="65"/>
      <c r="F107" s="66"/>
      <c r="G107" s="171" t="s">
        <v>39</v>
      </c>
      <c r="H107" s="171"/>
      <c r="I107" s="171"/>
      <c r="J107" s="171"/>
      <c r="K107" s="171"/>
      <c r="L107" s="172"/>
    </row>
    <row r="108" spans="3:12" ht="27" customHeight="1" thickBot="1" x14ac:dyDescent="0.3">
      <c r="C108" s="67" t="s">
        <v>36</v>
      </c>
      <c r="D108" s="68" t="s">
        <v>45</v>
      </c>
      <c r="E108" s="69"/>
      <c r="F108" s="70"/>
      <c r="G108" s="173" t="s">
        <v>40</v>
      </c>
      <c r="H108" s="173"/>
      <c r="I108" s="173"/>
      <c r="J108" s="173"/>
      <c r="K108" s="173"/>
      <c r="L108" s="174"/>
    </row>
    <row r="109" spans="3:12" ht="27" customHeight="1" x14ac:dyDescent="0.35">
      <c r="C109" s="57"/>
      <c r="D109" s="57"/>
      <c r="E109" s="57"/>
      <c r="F109" s="57"/>
      <c r="G109" s="57"/>
      <c r="H109" s="57"/>
      <c r="I109" s="57"/>
      <c r="J109" s="57"/>
      <c r="K109" s="71"/>
      <c r="L109" s="60"/>
    </row>
    <row r="110" spans="3:12" ht="27" customHeight="1" thickBot="1" x14ac:dyDescent="0.4">
      <c r="C110" s="57"/>
      <c r="D110" s="57"/>
      <c r="E110" s="57"/>
      <c r="F110" s="57"/>
      <c r="G110" s="57"/>
      <c r="H110" s="57"/>
      <c r="I110" s="57"/>
      <c r="J110" s="57"/>
      <c r="K110" s="71"/>
      <c r="L110" s="60"/>
    </row>
    <row r="111" spans="3:12" ht="27" customHeight="1" x14ac:dyDescent="0.3">
      <c r="C111" s="149" t="s">
        <v>51</v>
      </c>
      <c r="D111" s="150"/>
      <c r="E111" s="61"/>
      <c r="F111" s="62"/>
      <c r="G111" s="151" t="s">
        <v>51</v>
      </c>
      <c r="H111" s="151"/>
      <c r="I111" s="151"/>
      <c r="J111" s="151"/>
      <c r="K111" s="151"/>
      <c r="L111" s="152"/>
    </row>
    <row r="112" spans="3:12" ht="27" customHeight="1" x14ac:dyDescent="0.25">
      <c r="C112" s="63" t="s">
        <v>48</v>
      </c>
      <c r="D112" s="64" t="s">
        <v>49</v>
      </c>
      <c r="E112" s="65"/>
      <c r="F112" s="66"/>
      <c r="G112" s="171" t="s">
        <v>37</v>
      </c>
      <c r="H112" s="171"/>
      <c r="I112" s="171"/>
      <c r="J112" s="171"/>
      <c r="K112" s="171"/>
      <c r="L112" s="172"/>
    </row>
    <row r="113" spans="3:12" ht="27" customHeight="1" x14ac:dyDescent="0.25">
      <c r="C113" s="63" t="s">
        <v>34</v>
      </c>
      <c r="D113" s="64" t="s">
        <v>50</v>
      </c>
      <c r="E113" s="65"/>
      <c r="F113" s="66"/>
      <c r="G113" s="171" t="s">
        <v>38</v>
      </c>
      <c r="H113" s="171"/>
      <c r="I113" s="171"/>
      <c r="J113" s="171"/>
      <c r="K113" s="171"/>
      <c r="L113" s="172"/>
    </row>
    <row r="114" spans="3:12" ht="27" customHeight="1" x14ac:dyDescent="0.25">
      <c r="C114" s="63" t="s">
        <v>35</v>
      </c>
      <c r="D114" s="64" t="s">
        <v>47</v>
      </c>
      <c r="E114" s="65"/>
      <c r="F114" s="66"/>
      <c r="G114" s="171" t="s">
        <v>39</v>
      </c>
      <c r="H114" s="171"/>
      <c r="I114" s="171"/>
      <c r="J114" s="171"/>
      <c r="K114" s="171"/>
      <c r="L114" s="172"/>
    </row>
    <row r="115" spans="3:12" ht="27" customHeight="1" thickBot="1" x14ac:dyDescent="0.3">
      <c r="C115" s="67" t="s">
        <v>36</v>
      </c>
      <c r="D115" s="68"/>
      <c r="E115" s="69"/>
      <c r="F115" s="70"/>
      <c r="G115" s="173" t="s">
        <v>40</v>
      </c>
      <c r="H115" s="173"/>
      <c r="I115" s="173"/>
      <c r="J115" s="173"/>
      <c r="K115" s="173"/>
      <c r="L115" s="174"/>
    </row>
    <row r="116" spans="3:12" x14ac:dyDescent="0.25">
      <c r="C116" s="59"/>
      <c r="D116" s="59"/>
      <c r="E116" s="59"/>
      <c r="F116" s="59"/>
      <c r="G116" s="59"/>
      <c r="H116" s="59"/>
      <c r="I116" s="59"/>
      <c r="J116" s="59"/>
      <c r="K116" s="59"/>
      <c r="L116" s="59"/>
    </row>
    <row r="117" spans="3:12" ht="27" customHeight="1" x14ac:dyDescent="0.25">
      <c r="C117" s="111" t="s">
        <v>93</v>
      </c>
      <c r="D117" s="111"/>
      <c r="E117" s="111"/>
      <c r="F117" s="111"/>
      <c r="G117" s="111"/>
      <c r="H117" s="111"/>
      <c r="I117" s="111"/>
      <c r="J117" s="111"/>
      <c r="K117" s="111"/>
      <c r="L117" s="112"/>
    </row>
    <row r="118" spans="3:12" ht="27" customHeight="1" x14ac:dyDescent="0.25"/>
    <row r="119" spans="3:12" ht="27" customHeight="1" x14ac:dyDescent="0.25">
      <c r="C119" s="40" t="s">
        <v>94</v>
      </c>
      <c r="D119" s="40"/>
      <c r="E119" s="40"/>
      <c r="F119" s="40"/>
      <c r="G119" s="40"/>
      <c r="H119" s="40"/>
      <c r="I119" s="40"/>
      <c r="J119" s="40"/>
      <c r="K119" s="40"/>
      <c r="L119" s="40"/>
    </row>
    <row r="120" spans="3:12" ht="27" customHeight="1" x14ac:dyDescent="0.25">
      <c r="C120" s="41" t="s">
        <v>94</v>
      </c>
      <c r="D120" s="41"/>
      <c r="E120" s="41"/>
      <c r="F120" s="41"/>
      <c r="G120" s="41"/>
      <c r="H120" s="41"/>
      <c r="I120" s="41"/>
      <c r="J120" s="41"/>
      <c r="K120" s="41"/>
      <c r="L120" s="41"/>
    </row>
    <row r="121" spans="3:12" ht="27" customHeight="1" x14ac:dyDescent="0.25">
      <c r="C121" s="41" t="s">
        <v>94</v>
      </c>
      <c r="D121" s="41"/>
      <c r="E121" s="41"/>
      <c r="F121" s="41"/>
      <c r="G121" s="41"/>
      <c r="H121" s="41"/>
      <c r="I121" s="41"/>
      <c r="J121" s="41"/>
      <c r="K121" s="41"/>
      <c r="L121" s="41"/>
    </row>
    <row r="122" spans="3:12" ht="27" customHeight="1" x14ac:dyDescent="0.25">
      <c r="C122" s="41" t="s">
        <v>94</v>
      </c>
      <c r="D122" s="41"/>
      <c r="E122" s="41"/>
      <c r="F122" s="41"/>
      <c r="G122" s="41"/>
      <c r="H122" s="41"/>
      <c r="I122" s="41"/>
      <c r="J122" s="41"/>
      <c r="K122" s="41"/>
      <c r="L122" s="41"/>
    </row>
    <row r="123" spans="3:12" ht="27" customHeight="1" x14ac:dyDescent="0.25">
      <c r="C123" s="41" t="s">
        <v>94</v>
      </c>
      <c r="D123" s="41"/>
      <c r="E123" s="41"/>
      <c r="F123" s="41"/>
      <c r="G123" s="41"/>
      <c r="H123" s="41"/>
      <c r="I123" s="41"/>
      <c r="J123" s="41"/>
      <c r="K123" s="41"/>
      <c r="L123" s="41"/>
    </row>
    <row r="124" spans="3:12" ht="27" customHeight="1" x14ac:dyDescent="0.25">
      <c r="C124" s="41" t="s">
        <v>94</v>
      </c>
      <c r="D124" s="41"/>
      <c r="E124" s="41"/>
      <c r="F124" s="41"/>
      <c r="G124" s="41"/>
      <c r="H124" s="41"/>
      <c r="I124" s="41"/>
      <c r="J124" s="41"/>
      <c r="K124" s="41"/>
      <c r="L124" s="41"/>
    </row>
    <row r="125" spans="3:12" ht="27" customHeight="1" x14ac:dyDescent="0.25">
      <c r="C125" s="41" t="s">
        <v>94</v>
      </c>
      <c r="D125" s="41"/>
      <c r="E125" s="41"/>
      <c r="F125" s="41"/>
      <c r="G125" s="41"/>
      <c r="H125" s="41"/>
      <c r="I125" s="41"/>
      <c r="J125" s="41"/>
      <c r="K125" s="41"/>
      <c r="L125" s="41"/>
    </row>
    <row r="126" spans="3:12" ht="27" customHeight="1" x14ac:dyDescent="0.25">
      <c r="C126" s="41" t="s">
        <v>94</v>
      </c>
      <c r="D126" s="41"/>
      <c r="E126" s="41"/>
      <c r="F126" s="41"/>
      <c r="G126" s="41"/>
      <c r="H126" s="41"/>
      <c r="I126" s="41"/>
      <c r="J126" s="41"/>
      <c r="K126" s="41"/>
      <c r="L126" s="41"/>
    </row>
    <row r="127" spans="3:12" ht="27" customHeight="1" x14ac:dyDescent="0.25">
      <c r="C127" s="41" t="s">
        <v>94</v>
      </c>
      <c r="D127" s="41"/>
      <c r="E127" s="41"/>
      <c r="F127" s="41"/>
      <c r="G127" s="41"/>
      <c r="H127" s="41"/>
      <c r="I127" s="41"/>
      <c r="J127" s="41"/>
      <c r="K127" s="41"/>
      <c r="L127" s="41"/>
    </row>
    <row r="128" spans="3:12" ht="27" customHeight="1" x14ac:dyDescent="0.25">
      <c r="C128" s="41" t="s">
        <v>94</v>
      </c>
      <c r="D128" s="41"/>
      <c r="E128" s="41"/>
      <c r="F128" s="41"/>
      <c r="G128" s="41"/>
      <c r="H128" s="41"/>
      <c r="I128" s="41"/>
      <c r="J128" s="41"/>
      <c r="K128" s="41"/>
      <c r="L128" s="41"/>
    </row>
    <row r="129" spans="3:12" ht="27" customHeight="1" x14ac:dyDescent="0.25">
      <c r="C129" s="41" t="s">
        <v>94</v>
      </c>
      <c r="D129" s="41"/>
      <c r="E129" s="41"/>
      <c r="F129" s="41"/>
      <c r="G129" s="41"/>
      <c r="H129" s="41"/>
      <c r="I129" s="41"/>
      <c r="J129" s="41"/>
      <c r="K129" s="41"/>
      <c r="L129" s="41"/>
    </row>
    <row r="130" spans="3:12" ht="27" customHeight="1" x14ac:dyDescent="0.25">
      <c r="C130" s="41" t="s">
        <v>94</v>
      </c>
      <c r="D130" s="41"/>
      <c r="E130" s="41"/>
      <c r="F130" s="41"/>
      <c r="G130" s="41"/>
      <c r="H130" s="41"/>
      <c r="I130" s="41"/>
      <c r="J130" s="41"/>
      <c r="K130" s="41"/>
      <c r="L130" s="41"/>
    </row>
    <row r="131" spans="3:12" ht="27" customHeight="1" thickBot="1" x14ac:dyDescent="0.3"/>
    <row r="132" spans="3:12" ht="27" customHeight="1" thickBot="1" x14ac:dyDescent="0.3">
      <c r="C132" s="168" t="s">
        <v>91</v>
      </c>
      <c r="D132" s="169"/>
      <c r="G132" s="168" t="s">
        <v>260</v>
      </c>
      <c r="H132" s="170"/>
      <c r="I132" s="170"/>
      <c r="J132" s="170"/>
      <c r="K132" s="170"/>
      <c r="L132" s="169"/>
    </row>
    <row r="133" spans="3:12" ht="27" customHeight="1" x14ac:dyDescent="0.25"/>
    <row r="134" spans="3:12" ht="27" customHeight="1" x14ac:dyDescent="0.25"/>
    <row r="135" spans="3:12" ht="27" customHeight="1" x14ac:dyDescent="0.25"/>
    <row r="136" spans="3:12" ht="27" customHeight="1" x14ac:dyDescent="0.25"/>
    <row r="137" spans="3:12" ht="27" customHeight="1" x14ac:dyDescent="0.25"/>
    <row r="138" spans="3:12" ht="27" customHeight="1" x14ac:dyDescent="0.25"/>
    <row r="139" spans="3:12" ht="27" customHeight="1" x14ac:dyDescent="0.25"/>
    <row r="140" spans="3:12" ht="27" customHeight="1" x14ac:dyDescent="0.25"/>
    <row r="141" spans="3:12" ht="27" customHeight="1" x14ac:dyDescent="0.25"/>
    <row r="142" spans="3:12" ht="27" customHeight="1" x14ac:dyDescent="0.25"/>
    <row r="143" spans="3:12" ht="27" customHeight="1" x14ac:dyDescent="0.25"/>
    <row r="144" spans="3:12" ht="27" customHeight="1" x14ac:dyDescent="0.25"/>
    <row r="145" spans="3:11" ht="27" customHeight="1" x14ac:dyDescent="0.25"/>
    <row r="146" spans="3:11" ht="27" customHeight="1" x14ac:dyDescent="0.25"/>
    <row r="147" spans="3:11" ht="27" customHeight="1" x14ac:dyDescent="0.25"/>
    <row r="149" spans="3:11" x14ac:dyDescent="0.25">
      <c r="C149" s="26"/>
      <c r="D149" s="26"/>
      <c r="E149" s="26"/>
      <c r="F149" s="26"/>
      <c r="G149" s="26"/>
      <c r="H149" s="26"/>
      <c r="I149" s="26"/>
      <c r="J149" s="26"/>
      <c r="K149" s="15"/>
    </row>
  </sheetData>
  <sheetProtection selectLockedCells="1"/>
  <mergeCells count="63">
    <mergeCell ref="C132:D132"/>
    <mergeCell ref="G132:L132"/>
    <mergeCell ref="G105:L105"/>
    <mergeCell ref="G106:L106"/>
    <mergeCell ref="G107:L107"/>
    <mergeCell ref="G108:L108"/>
    <mergeCell ref="C111:D111"/>
    <mergeCell ref="G111:L111"/>
    <mergeCell ref="G112:L112"/>
    <mergeCell ref="G113:L113"/>
    <mergeCell ref="G114:L114"/>
    <mergeCell ref="G115:L115"/>
    <mergeCell ref="C117:L117"/>
    <mergeCell ref="C88:L88"/>
    <mergeCell ref="C90:L90"/>
    <mergeCell ref="C102:L102"/>
    <mergeCell ref="C104:D104"/>
    <mergeCell ref="G104:L104"/>
    <mergeCell ref="F75:J75"/>
    <mergeCell ref="D66:F66"/>
    <mergeCell ref="D67:F67"/>
    <mergeCell ref="D68:F68"/>
    <mergeCell ref="F86:I86"/>
    <mergeCell ref="C76:D76"/>
    <mergeCell ref="F76:J76"/>
    <mergeCell ref="F77:J77"/>
    <mergeCell ref="F78:J78"/>
    <mergeCell ref="F80:I80"/>
    <mergeCell ref="F81:G81"/>
    <mergeCell ref="F82:G82"/>
    <mergeCell ref="H82:I82"/>
    <mergeCell ref="F83:G83"/>
    <mergeCell ref="H83:I83"/>
    <mergeCell ref="F85:I85"/>
    <mergeCell ref="D65:F65"/>
    <mergeCell ref="C47:L47"/>
    <mergeCell ref="C60:L60"/>
    <mergeCell ref="D61:F61"/>
    <mergeCell ref="D62:F62"/>
    <mergeCell ref="D63:F63"/>
    <mergeCell ref="D64:F64"/>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39">
      <formula1>0</formula1>
      <formula2>48</formula2>
    </dataValidation>
    <dataValidation type="whole" allowBlank="1" showInputMessage="1" showErrorMessage="1" sqref="I49:I51">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48129"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48130"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48131"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48132"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48133"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48134"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48135"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48136"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48137"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48138" r:id="rId13" name="Check Box 10">
              <controlPr defaultSize="0" autoFill="0" autoLine="0" autoPict="0">
                <anchor moveWithCells="1">
                  <from>
                    <xdr:col>6</xdr:col>
                    <xdr:colOff>685800</xdr:colOff>
                    <xdr:row>75</xdr:row>
                    <xdr:rowOff>28575</xdr:rowOff>
                  </from>
                  <to>
                    <xdr:col>8</xdr:col>
                    <xdr:colOff>190500</xdr:colOff>
                    <xdr:row>75</xdr:row>
                    <xdr:rowOff>285750</xdr:rowOff>
                  </to>
                </anchor>
              </controlPr>
            </control>
          </mc:Choice>
        </mc:AlternateContent>
        <mc:AlternateContent xmlns:mc="http://schemas.openxmlformats.org/markup-compatibility/2006">
          <mc:Choice Requires="x14">
            <control shapeId="48139" r:id="rId14" name="Check Box 11">
              <controlPr defaultSize="0" autoFill="0" autoLine="0" autoPict="0">
                <anchor moveWithCells="1">
                  <from>
                    <xdr:col>5</xdr:col>
                    <xdr:colOff>1276350</xdr:colOff>
                    <xdr:row>75</xdr:row>
                    <xdr:rowOff>323850</xdr:rowOff>
                  </from>
                  <to>
                    <xdr:col>8</xdr:col>
                    <xdr:colOff>695325</xdr:colOff>
                    <xdr:row>76</xdr:row>
                    <xdr:rowOff>323850</xdr:rowOff>
                  </to>
                </anchor>
              </controlPr>
            </control>
          </mc:Choice>
        </mc:AlternateContent>
        <mc:AlternateContent xmlns:mc="http://schemas.openxmlformats.org/markup-compatibility/2006">
          <mc:Choice Requires="x14">
            <control shapeId="48140" r:id="rId15" name="Check Box 12">
              <controlPr defaultSize="0" autoFill="0" autoLine="0" autoPict="0">
                <anchor moveWithCells="1">
                  <from>
                    <xdr:col>6</xdr:col>
                    <xdr:colOff>295275</xdr:colOff>
                    <xdr:row>76</xdr:row>
                    <xdr:rowOff>333375</xdr:rowOff>
                  </from>
                  <to>
                    <xdr:col>8</xdr:col>
                    <xdr:colOff>9525</xdr:colOff>
                    <xdr:row>78</xdr:row>
                    <xdr:rowOff>0</xdr:rowOff>
                  </to>
                </anchor>
              </controlPr>
            </control>
          </mc:Choice>
        </mc:AlternateContent>
        <mc:AlternateContent xmlns:mc="http://schemas.openxmlformats.org/markup-compatibility/2006">
          <mc:Choice Requires="x14">
            <control shapeId="48141" r:id="rId16" name="Check Box 13">
              <controlPr defaultSize="0" autoFill="0" autoLine="0" autoPict="0">
                <anchor moveWithCells="1">
                  <from>
                    <xdr:col>5</xdr:col>
                    <xdr:colOff>171450</xdr:colOff>
                    <xdr:row>81</xdr:row>
                    <xdr:rowOff>57150</xdr:rowOff>
                  </from>
                  <to>
                    <xdr:col>6</xdr:col>
                    <xdr:colOff>1019175</xdr:colOff>
                    <xdr:row>81</xdr:row>
                    <xdr:rowOff>314325</xdr:rowOff>
                  </to>
                </anchor>
              </controlPr>
            </control>
          </mc:Choice>
        </mc:AlternateContent>
        <mc:AlternateContent xmlns:mc="http://schemas.openxmlformats.org/markup-compatibility/2006">
          <mc:Choice Requires="x14">
            <control shapeId="48142" r:id="rId17" name="Check Box 14">
              <controlPr defaultSize="0" autoFill="0" autoLine="0" autoPict="0">
                <anchor moveWithCells="1">
                  <from>
                    <xdr:col>5</xdr:col>
                    <xdr:colOff>952500</xdr:colOff>
                    <xdr:row>80</xdr:row>
                    <xdr:rowOff>28575</xdr:rowOff>
                  </from>
                  <to>
                    <xdr:col>6</xdr:col>
                    <xdr:colOff>419100</xdr:colOff>
                    <xdr:row>80</xdr:row>
                    <xdr:rowOff>276225</xdr:rowOff>
                  </to>
                </anchor>
              </controlPr>
            </control>
          </mc:Choice>
        </mc:AlternateContent>
        <mc:AlternateContent xmlns:mc="http://schemas.openxmlformats.org/markup-compatibility/2006">
          <mc:Choice Requires="x14">
            <control shapeId="48143" r:id="rId18" name="Check Box 15">
              <controlPr defaultSize="0" autoFill="0" autoLine="0" autoPict="0">
                <anchor moveWithCells="1">
                  <from>
                    <xdr:col>5</xdr:col>
                    <xdr:colOff>180975</xdr:colOff>
                    <xdr:row>82</xdr:row>
                    <xdr:rowOff>38100</xdr:rowOff>
                  </from>
                  <to>
                    <xdr:col>6</xdr:col>
                    <xdr:colOff>990600</xdr:colOff>
                    <xdr:row>82</xdr:row>
                    <xdr:rowOff>295275</xdr:rowOff>
                  </to>
                </anchor>
              </controlPr>
            </control>
          </mc:Choice>
        </mc:AlternateContent>
        <mc:AlternateContent xmlns:mc="http://schemas.openxmlformats.org/markup-compatibility/2006">
          <mc:Choice Requires="x14">
            <control shapeId="48144" r:id="rId19" name="Check Box 16">
              <controlPr defaultSize="0" autoFill="0" autoLine="0" autoPict="0">
                <anchor moveWithCells="1">
                  <from>
                    <xdr:col>7</xdr:col>
                    <xdr:colOff>257175</xdr:colOff>
                    <xdr:row>81</xdr:row>
                    <xdr:rowOff>57150</xdr:rowOff>
                  </from>
                  <to>
                    <xdr:col>8</xdr:col>
                    <xdr:colOff>962025</xdr:colOff>
                    <xdr:row>81</xdr:row>
                    <xdr:rowOff>285750</xdr:rowOff>
                  </to>
                </anchor>
              </controlPr>
            </control>
          </mc:Choice>
        </mc:AlternateContent>
        <mc:AlternateContent xmlns:mc="http://schemas.openxmlformats.org/markup-compatibility/2006">
          <mc:Choice Requires="x14">
            <control shapeId="48145" r:id="rId20" name="Check Box 17">
              <controlPr defaultSize="0" autoFill="0" autoLine="0" autoPict="0">
                <anchor moveWithCells="1">
                  <from>
                    <xdr:col>7</xdr:col>
                    <xdr:colOff>866775</xdr:colOff>
                    <xdr:row>82</xdr:row>
                    <xdr:rowOff>38100</xdr:rowOff>
                  </from>
                  <to>
                    <xdr:col>8</xdr:col>
                    <xdr:colOff>476250</xdr:colOff>
                    <xdr:row>82</xdr:row>
                    <xdr:rowOff>295275</xdr:rowOff>
                  </to>
                </anchor>
              </controlPr>
            </control>
          </mc:Choice>
        </mc:AlternateContent>
        <mc:AlternateContent xmlns:mc="http://schemas.openxmlformats.org/markup-compatibility/2006">
          <mc:Choice Requires="x14">
            <control shapeId="48146" r:id="rId21" name="Check Box 18">
              <controlPr defaultSize="0" autoFill="0" autoLine="0" autoPict="0">
                <anchor moveWithCells="1">
                  <from>
                    <xdr:col>10</xdr:col>
                    <xdr:colOff>1933575</xdr:colOff>
                    <xdr:row>28</xdr:row>
                    <xdr:rowOff>333375</xdr:rowOff>
                  </from>
                  <to>
                    <xdr:col>11</xdr:col>
                    <xdr:colOff>1724025</xdr:colOff>
                    <xdr:row>29</xdr:row>
                    <xdr:rowOff>285750</xdr:rowOff>
                  </to>
                </anchor>
              </controlPr>
            </control>
          </mc:Choice>
        </mc:AlternateContent>
        <mc:AlternateContent xmlns:mc="http://schemas.openxmlformats.org/markup-compatibility/2006">
          <mc:Choice Requires="x14">
            <control shapeId="48147" r:id="rId22" name="Check Box 19">
              <controlPr defaultSize="0" autoFill="0" autoLine="0" autoPict="0">
                <anchor moveWithCells="1">
                  <from>
                    <xdr:col>9</xdr:col>
                    <xdr:colOff>495300</xdr:colOff>
                    <xdr:row>29</xdr:row>
                    <xdr:rowOff>9525</xdr:rowOff>
                  </from>
                  <to>
                    <xdr:col>10</xdr:col>
                    <xdr:colOff>828675</xdr:colOff>
                    <xdr:row>29</xdr:row>
                    <xdr:rowOff>314325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132"/>
  <sheetViews>
    <sheetView topLeftCell="A13" zoomScale="70" zoomScaleNormal="70" workbookViewId="0">
      <selection activeCell="C71" sqref="C71:C79"/>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230</v>
      </c>
      <c r="D12" s="97"/>
      <c r="E12" s="97"/>
      <c r="F12" s="97"/>
      <c r="G12" s="97"/>
      <c r="H12" s="97"/>
      <c r="I12" s="97"/>
      <c r="J12" s="97"/>
      <c r="K12" s="97"/>
      <c r="L12" s="98"/>
    </row>
    <row r="13" spans="2:12" ht="26.25" customHeight="1" thickBot="1" x14ac:dyDescent="0.3">
      <c r="C13" s="1" t="s">
        <v>288</v>
      </c>
      <c r="L13" s="3"/>
    </row>
    <row r="14" spans="2:12" ht="26.25" customHeight="1" thickBot="1" x14ac:dyDescent="0.3">
      <c r="K14" s="50" t="s">
        <v>107</v>
      </c>
      <c r="L14" s="78">
        <v>46087</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272</v>
      </c>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t="s">
        <v>273</v>
      </c>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t="s">
        <v>274</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287</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35">
      <c r="C34" s="26"/>
      <c r="D34" s="26"/>
      <c r="E34" s="26"/>
      <c r="F34" s="26"/>
      <c r="G34" s="26"/>
      <c r="H34" s="26"/>
      <c r="I34" s="26"/>
      <c r="J34" s="26"/>
      <c r="K34" s="27"/>
      <c r="L34" s="28"/>
    </row>
    <row r="35" spans="3:12" ht="27" customHeight="1" x14ac:dyDescent="0.25">
      <c r="C35" s="175" t="s">
        <v>16</v>
      </c>
      <c r="D35" s="175"/>
      <c r="E35" s="175"/>
      <c r="F35" s="175"/>
      <c r="G35" s="175"/>
      <c r="H35" s="175"/>
      <c r="I35" s="175"/>
      <c r="J35" s="175"/>
      <c r="K35" s="175"/>
      <c r="L35" s="176"/>
    </row>
    <row r="36" spans="3:12" ht="27" customHeight="1" x14ac:dyDescent="0.25">
      <c r="C36" s="51" t="s">
        <v>1</v>
      </c>
      <c r="D36" s="51" t="s">
        <v>2</v>
      </c>
      <c r="E36" s="51" t="s">
        <v>3</v>
      </c>
      <c r="F36" s="51" t="s">
        <v>4</v>
      </c>
      <c r="G36" s="51" t="s">
        <v>5</v>
      </c>
      <c r="H36" s="51" t="s">
        <v>133</v>
      </c>
      <c r="I36" s="51" t="s">
        <v>134</v>
      </c>
      <c r="J36" s="51" t="s">
        <v>6</v>
      </c>
      <c r="K36" s="51" t="s">
        <v>7</v>
      </c>
      <c r="L36" s="51" t="s">
        <v>8</v>
      </c>
    </row>
    <row r="37" spans="3:12" ht="27" customHeight="1" x14ac:dyDescent="0.3">
      <c r="C37" s="17" t="s">
        <v>275</v>
      </c>
      <c r="D37" s="18" t="s">
        <v>276</v>
      </c>
      <c r="E37" s="19" t="s">
        <v>277</v>
      </c>
      <c r="F37" s="17"/>
      <c r="G37" s="19">
        <v>223</v>
      </c>
      <c r="H37" s="82">
        <v>182</v>
      </c>
      <c r="I37" s="45">
        <v>50</v>
      </c>
      <c r="J37" s="52" t="s">
        <v>9</v>
      </c>
      <c r="K37" s="83">
        <f>ROUND(H37*(1-I37/100),2)</f>
        <v>91</v>
      </c>
      <c r="L37" s="84">
        <f t="shared" ref="L37:L39" si="0">K37*G37</f>
        <v>20293</v>
      </c>
    </row>
    <row r="38" spans="3:12" ht="27" customHeight="1" x14ac:dyDescent="0.3">
      <c r="C38" s="17" t="s">
        <v>278</v>
      </c>
      <c r="D38" s="18" t="s">
        <v>279</v>
      </c>
      <c r="E38" s="19" t="s">
        <v>280</v>
      </c>
      <c r="F38" s="17"/>
      <c r="G38" s="19">
        <v>36</v>
      </c>
      <c r="H38" s="82">
        <v>196</v>
      </c>
      <c r="I38" s="45">
        <v>50</v>
      </c>
      <c r="J38" s="52" t="s">
        <v>9</v>
      </c>
      <c r="K38" s="83">
        <f t="shared" ref="K38:K39" si="1">ROUND(H38*(1-I38/100),2)</f>
        <v>98</v>
      </c>
      <c r="L38" s="84">
        <f t="shared" si="0"/>
        <v>3528</v>
      </c>
    </row>
    <row r="39" spans="3:12" ht="27" customHeight="1" x14ac:dyDescent="0.3">
      <c r="C39" s="17" t="s">
        <v>278</v>
      </c>
      <c r="D39" s="18" t="s">
        <v>281</v>
      </c>
      <c r="E39" s="19"/>
      <c r="F39" s="17"/>
      <c r="G39" s="19">
        <v>24</v>
      </c>
      <c r="H39" s="82">
        <v>296</v>
      </c>
      <c r="I39" s="45">
        <v>50</v>
      </c>
      <c r="J39" s="52" t="s">
        <v>9</v>
      </c>
      <c r="K39" s="83">
        <f t="shared" si="1"/>
        <v>148</v>
      </c>
      <c r="L39" s="84">
        <f t="shared" si="0"/>
        <v>3552</v>
      </c>
    </row>
    <row r="40" spans="3:12" ht="27" customHeight="1" x14ac:dyDescent="0.35">
      <c r="D40" s="15"/>
      <c r="E40" s="15"/>
      <c r="F40" s="15"/>
      <c r="G40" s="16">
        <f>SUM(G37+G38+G39)</f>
        <v>283</v>
      </c>
      <c r="H40" s="6"/>
      <c r="I40" s="6"/>
      <c r="J40" s="15"/>
      <c r="K40" s="42" t="s">
        <v>10</v>
      </c>
      <c r="L40" s="85">
        <f>SUM(L37:L39)</f>
        <v>27373</v>
      </c>
    </row>
    <row r="41" spans="3:12" ht="27" customHeight="1" x14ac:dyDescent="0.35">
      <c r="C41" s="25" t="s">
        <v>150</v>
      </c>
      <c r="D41" s="15"/>
      <c r="E41" s="15"/>
      <c r="F41" s="15"/>
      <c r="G41" s="15"/>
      <c r="H41" s="15"/>
      <c r="I41" s="15"/>
      <c r="J41" s="15"/>
      <c r="K41" s="42" t="s">
        <v>11</v>
      </c>
      <c r="L41" s="86">
        <v>0</v>
      </c>
    </row>
    <row r="42" spans="3:12" ht="27" customHeight="1" x14ac:dyDescent="0.35">
      <c r="C42" s="26" t="s">
        <v>213</v>
      </c>
      <c r="D42" s="26" t="s">
        <v>283</v>
      </c>
      <c r="E42" s="26"/>
      <c r="F42" s="26"/>
      <c r="G42" s="26"/>
      <c r="H42" s="26"/>
      <c r="I42" s="26"/>
      <c r="J42" s="26"/>
      <c r="K42" s="42" t="s">
        <v>13</v>
      </c>
      <c r="L42" s="85">
        <f>L41+L40</f>
        <v>27373</v>
      </c>
    </row>
    <row r="43" spans="3:12" ht="27" customHeight="1" x14ac:dyDescent="0.35">
      <c r="C43" s="26" t="s">
        <v>284</v>
      </c>
      <c r="D43" s="26" t="s">
        <v>285</v>
      </c>
      <c r="E43" s="26"/>
      <c r="F43" s="26"/>
      <c r="G43" s="26"/>
      <c r="H43" s="26"/>
      <c r="I43" s="26"/>
      <c r="J43" s="26"/>
      <c r="K43" s="27"/>
      <c r="L43" s="28"/>
    </row>
    <row r="44" spans="3:12" ht="27" customHeight="1" x14ac:dyDescent="0.35">
      <c r="C44" s="26" t="s">
        <v>19</v>
      </c>
      <c r="D44" s="26" t="s">
        <v>286</v>
      </c>
      <c r="E44" s="26"/>
      <c r="F44" s="26"/>
      <c r="G44" s="26"/>
      <c r="H44" s="26"/>
      <c r="I44" s="26"/>
      <c r="J44" s="26"/>
      <c r="K44" s="27"/>
      <c r="L44" s="28"/>
    </row>
    <row r="45" spans="3:12" ht="27" customHeight="1" x14ac:dyDescent="0.35">
      <c r="C45" s="26" t="s">
        <v>20</v>
      </c>
      <c r="D45" s="26"/>
      <c r="E45" s="26"/>
      <c r="F45" s="26"/>
      <c r="G45" s="26"/>
      <c r="H45" s="26"/>
      <c r="I45" s="26"/>
      <c r="J45" s="26"/>
      <c r="K45" s="27"/>
      <c r="L45" s="28"/>
    </row>
    <row r="46" spans="3:12" ht="27" customHeight="1" x14ac:dyDescent="0.35">
      <c r="C46" s="26" t="s">
        <v>282</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35">
      <c r="C48" s="26"/>
      <c r="D48" s="26"/>
      <c r="E48" s="26"/>
      <c r="F48" s="26"/>
      <c r="G48" s="26"/>
      <c r="H48" s="26"/>
      <c r="I48" s="26"/>
      <c r="J48" s="26"/>
      <c r="K48" s="27"/>
      <c r="L48" s="28"/>
    </row>
    <row r="49" spans="3:13" ht="27" customHeight="1" x14ac:dyDescent="0.35">
      <c r="C49" s="26"/>
      <c r="D49" s="26"/>
      <c r="E49" s="26"/>
      <c r="F49" s="26"/>
      <c r="G49" s="26"/>
      <c r="H49" s="26"/>
      <c r="I49" s="26"/>
      <c r="J49" s="26"/>
      <c r="K49" s="27"/>
      <c r="L49" s="28"/>
    </row>
    <row r="50" spans="3:13" ht="27" customHeight="1" x14ac:dyDescent="0.35">
      <c r="C50" s="26"/>
      <c r="D50" s="26"/>
      <c r="E50" s="26"/>
      <c r="F50" s="26"/>
      <c r="G50" s="26"/>
      <c r="H50" s="26"/>
      <c r="I50" s="26"/>
      <c r="J50" s="26"/>
      <c r="K50" s="27"/>
      <c r="L50" s="28"/>
    </row>
    <row r="51" spans="3:13" ht="27" customHeight="1" x14ac:dyDescent="0.35">
      <c r="C51" s="26"/>
      <c r="D51" s="26"/>
      <c r="E51" s="26"/>
      <c r="F51" s="26"/>
      <c r="G51" s="26"/>
      <c r="H51" s="26"/>
      <c r="I51" s="26"/>
      <c r="J51" s="26"/>
      <c r="K51" s="27"/>
      <c r="L51" s="28"/>
    </row>
    <row r="52" spans="3:13" ht="27" customHeight="1" x14ac:dyDescent="0.35">
      <c r="C52" s="26"/>
      <c r="D52" s="26"/>
      <c r="E52" s="26"/>
      <c r="F52" s="26"/>
      <c r="G52" s="26"/>
      <c r="H52" s="26"/>
      <c r="I52" s="26"/>
      <c r="J52" s="26"/>
      <c r="K52" s="27"/>
      <c r="L52" s="29"/>
    </row>
    <row r="53" spans="3:13" ht="27" customHeight="1" x14ac:dyDescent="0.35">
      <c r="C53" s="26"/>
      <c r="D53" s="26"/>
      <c r="E53" s="26"/>
      <c r="F53" s="26"/>
      <c r="G53" s="26"/>
      <c r="H53" s="26"/>
      <c r="I53" s="26"/>
      <c r="J53" s="26"/>
      <c r="K53" s="27"/>
      <c r="L53" s="28"/>
    </row>
    <row r="54" spans="3:13" ht="27" customHeight="1" thickBot="1" x14ac:dyDescent="0.4">
      <c r="C54" s="26"/>
      <c r="D54" s="26"/>
      <c r="E54" s="26"/>
      <c r="F54" s="26"/>
      <c r="G54" s="26"/>
      <c r="H54" s="26"/>
      <c r="I54" s="26"/>
      <c r="J54" s="26"/>
      <c r="K54" s="27"/>
      <c r="L54" s="29"/>
    </row>
    <row r="55" spans="3:13" ht="27" customHeight="1" thickBot="1" x14ac:dyDescent="0.4">
      <c r="C55" s="26"/>
      <c r="D55" s="26"/>
      <c r="E55" s="26"/>
      <c r="F55" s="146" t="s">
        <v>125</v>
      </c>
      <c r="G55" s="147"/>
      <c r="H55" s="147"/>
      <c r="I55" s="147"/>
      <c r="J55" s="148"/>
      <c r="K55" s="27"/>
      <c r="L55" s="29"/>
    </row>
    <row r="56" spans="3:13" ht="27" customHeight="1" thickBot="1" x14ac:dyDescent="0.35">
      <c r="C56" s="141" t="s">
        <v>80</v>
      </c>
      <c r="D56" s="142"/>
      <c r="E56" s="26"/>
      <c r="F56" s="143" t="s">
        <v>122</v>
      </c>
      <c r="G56" s="144"/>
      <c r="H56" s="144"/>
      <c r="I56" s="144"/>
      <c r="J56" s="145"/>
      <c r="L56" s="30"/>
    </row>
    <row r="57" spans="3:13" ht="27" customHeight="1" x14ac:dyDescent="0.25">
      <c r="C57" s="53" t="s">
        <v>81</v>
      </c>
      <c r="D57" s="31">
        <v>0</v>
      </c>
      <c r="E57" s="26"/>
      <c r="F57" s="143" t="s">
        <v>124</v>
      </c>
      <c r="G57" s="144"/>
      <c r="H57" s="144"/>
      <c r="I57" s="144"/>
      <c r="J57" s="145"/>
    </row>
    <row r="58" spans="3:13" ht="27" customHeight="1" thickBot="1" x14ac:dyDescent="0.3">
      <c r="C58" s="54" t="s">
        <v>82</v>
      </c>
      <c r="D58" s="32">
        <f>L42</f>
        <v>27373</v>
      </c>
      <c r="E58" s="33"/>
      <c r="F58" s="153" t="s">
        <v>123</v>
      </c>
      <c r="G58" s="154"/>
      <c r="H58" s="154"/>
      <c r="I58" s="154"/>
      <c r="J58" s="155"/>
      <c r="K58" s="26"/>
      <c r="L58" s="26"/>
    </row>
    <row r="59" spans="3:13" ht="27" customHeight="1" thickBot="1" x14ac:dyDescent="0.3">
      <c r="C59" s="54" t="s">
        <v>83</v>
      </c>
      <c r="D59" s="32">
        <v>0</v>
      </c>
      <c r="E59" s="33"/>
      <c r="F59" s="33"/>
      <c r="G59" s="26"/>
      <c r="H59" s="26"/>
      <c r="I59" s="26"/>
      <c r="J59" s="26"/>
      <c r="K59" s="26"/>
      <c r="L59" s="26"/>
    </row>
    <row r="60" spans="3:13" ht="27" customHeight="1" thickBot="1" x14ac:dyDescent="0.3">
      <c r="C60" s="54" t="s">
        <v>84</v>
      </c>
      <c r="D60" s="32">
        <v>0</v>
      </c>
      <c r="E60" s="33"/>
      <c r="F60" s="161" t="s">
        <v>126</v>
      </c>
      <c r="G60" s="162"/>
      <c r="H60" s="162"/>
      <c r="I60" s="163"/>
    </row>
    <row r="61" spans="3:13" ht="27" customHeight="1" x14ac:dyDescent="0.25">
      <c r="C61" s="54" t="s">
        <v>75</v>
      </c>
      <c r="D61" s="32">
        <v>0</v>
      </c>
      <c r="E61" s="33"/>
      <c r="F61" s="156" t="s">
        <v>141</v>
      </c>
      <c r="G61" s="157"/>
      <c r="H61" s="34"/>
      <c r="I61" s="44"/>
    </row>
    <row r="62" spans="3:13" ht="27" customHeight="1" x14ac:dyDescent="0.25">
      <c r="C62" s="54" t="s">
        <v>85</v>
      </c>
      <c r="D62" s="32">
        <v>0</v>
      </c>
      <c r="E62" s="26"/>
      <c r="F62" s="143" t="s">
        <v>127</v>
      </c>
      <c r="G62" s="144"/>
      <c r="H62" s="144" t="s">
        <v>144</v>
      </c>
      <c r="I62" s="145"/>
      <c r="K62" s="1" t="s">
        <v>142</v>
      </c>
      <c r="M62" s="34"/>
    </row>
    <row r="63" spans="3:13" ht="27" customHeight="1" x14ac:dyDescent="0.25">
      <c r="C63" s="54" t="s">
        <v>138</v>
      </c>
      <c r="D63" s="32">
        <v>0</v>
      </c>
      <c r="E63" s="26"/>
      <c r="F63" s="143" t="s">
        <v>143</v>
      </c>
      <c r="G63" s="144"/>
      <c r="H63" s="144" t="s">
        <v>146</v>
      </c>
      <c r="I63" s="145"/>
      <c r="M63" s="34"/>
    </row>
    <row r="64" spans="3:13" ht="27" customHeight="1" thickBot="1" x14ac:dyDescent="0.3">
      <c r="C64" s="54" t="s">
        <v>86</v>
      </c>
      <c r="D64" s="32">
        <v>0</v>
      </c>
      <c r="E64" s="26"/>
      <c r="F64" s="43" t="s">
        <v>142</v>
      </c>
      <c r="G64" s="34"/>
      <c r="H64" s="34"/>
      <c r="I64" s="44"/>
      <c r="K64" s="1" t="s">
        <v>145</v>
      </c>
    </row>
    <row r="65" spans="3:12" ht="27" customHeight="1" thickBot="1" x14ac:dyDescent="0.4">
      <c r="C65" s="55" t="s">
        <v>87</v>
      </c>
      <c r="D65" s="35">
        <f>SUM(D57:D64)</f>
        <v>27373</v>
      </c>
      <c r="E65" s="26"/>
      <c r="F65" s="158" t="s">
        <v>128</v>
      </c>
      <c r="G65" s="159"/>
      <c r="H65" s="159"/>
      <c r="I65" s="160"/>
    </row>
    <row r="66" spans="3:12" ht="27" customHeight="1" thickBot="1" x14ac:dyDescent="0.3">
      <c r="C66" s="36"/>
      <c r="D66" s="26"/>
      <c r="E66" s="26"/>
      <c r="F66" s="161" t="s">
        <v>132</v>
      </c>
      <c r="G66" s="162"/>
      <c r="H66" s="162"/>
      <c r="I66" s="163"/>
    </row>
    <row r="67" spans="3:12" ht="27" customHeight="1" x14ac:dyDescent="0.3">
      <c r="C67" s="36"/>
      <c r="D67" s="26"/>
      <c r="E67" s="26"/>
      <c r="F67" s="37"/>
      <c r="G67" s="37"/>
      <c r="H67" s="37"/>
      <c r="I67" s="37"/>
      <c r="J67" s="37"/>
      <c r="K67" s="37"/>
      <c r="L67" s="29"/>
    </row>
    <row r="68" spans="3:12" ht="27" customHeight="1" x14ac:dyDescent="0.25">
      <c r="C68" s="167" t="s">
        <v>147</v>
      </c>
      <c r="D68" s="167"/>
      <c r="E68" s="167"/>
      <c r="F68" s="167"/>
      <c r="G68" s="167"/>
      <c r="H68" s="167"/>
      <c r="I68" s="167"/>
      <c r="J68" s="167"/>
      <c r="K68" s="167"/>
      <c r="L68" s="167"/>
    </row>
    <row r="69" spans="3:12" ht="27" customHeight="1" x14ac:dyDescent="0.3">
      <c r="C69" s="36"/>
      <c r="D69" s="26"/>
      <c r="E69" s="26"/>
      <c r="F69" s="37"/>
      <c r="G69" s="37"/>
      <c r="H69" s="37"/>
      <c r="I69" s="37"/>
      <c r="J69" s="37"/>
      <c r="K69" s="37"/>
      <c r="L69" s="29"/>
    </row>
    <row r="70" spans="3:12" ht="27" customHeight="1" x14ac:dyDescent="0.25">
      <c r="C70" s="164" t="s">
        <v>289</v>
      </c>
      <c r="D70" s="164"/>
      <c r="E70" s="164"/>
      <c r="F70" s="164"/>
      <c r="G70" s="164"/>
      <c r="H70" s="164"/>
      <c r="I70" s="164"/>
      <c r="J70" s="164"/>
      <c r="K70" s="164"/>
      <c r="L70" s="165"/>
    </row>
    <row r="71" spans="3:12" ht="27" customHeight="1" x14ac:dyDescent="0.35">
      <c r="C71" s="56" t="s">
        <v>261</v>
      </c>
      <c r="D71" s="57"/>
      <c r="E71" s="57"/>
      <c r="F71" s="58"/>
      <c r="G71" s="26"/>
      <c r="H71" s="26"/>
      <c r="I71" s="26"/>
      <c r="J71" s="26"/>
      <c r="K71" s="27"/>
      <c r="L71" s="29"/>
    </row>
    <row r="72" spans="3:12" ht="27" customHeight="1" x14ac:dyDescent="0.35">
      <c r="C72" s="56"/>
      <c r="D72" s="57"/>
      <c r="E72" s="57"/>
      <c r="F72" s="58"/>
      <c r="G72" s="26"/>
      <c r="H72" s="26"/>
      <c r="I72" s="26"/>
      <c r="J72" s="26"/>
      <c r="K72" s="27"/>
      <c r="L72" s="29"/>
    </row>
    <row r="73" spans="3:12" ht="27" customHeight="1" x14ac:dyDescent="0.35">
      <c r="C73" s="56" t="s">
        <v>262</v>
      </c>
      <c r="D73" s="57"/>
      <c r="E73" s="57"/>
      <c r="F73" s="58"/>
      <c r="G73" s="26"/>
      <c r="H73" s="26"/>
      <c r="I73" s="26"/>
      <c r="J73" s="26"/>
      <c r="K73" s="27"/>
      <c r="L73" s="29"/>
    </row>
    <row r="74" spans="3:12" ht="27" customHeight="1" x14ac:dyDescent="0.35">
      <c r="C74" s="56"/>
      <c r="D74" s="57"/>
      <c r="E74" s="57"/>
      <c r="F74" s="58"/>
      <c r="G74" s="26"/>
      <c r="H74" s="26"/>
      <c r="I74" s="26"/>
      <c r="J74" s="26"/>
      <c r="K74" s="27"/>
      <c r="L74" s="29"/>
    </row>
    <row r="75" spans="3:12" ht="27" customHeight="1" x14ac:dyDescent="0.35">
      <c r="C75" s="56" t="s">
        <v>263</v>
      </c>
      <c r="D75" s="57"/>
      <c r="E75" s="57"/>
      <c r="F75" s="58"/>
      <c r="G75" s="26"/>
      <c r="H75" s="26"/>
      <c r="I75" s="26"/>
      <c r="J75" s="26"/>
      <c r="K75" s="27"/>
      <c r="L75" s="29"/>
    </row>
    <row r="76" spans="3:12" ht="27" customHeight="1" x14ac:dyDescent="0.35">
      <c r="C76" s="56"/>
      <c r="D76" s="57"/>
      <c r="E76" s="57"/>
      <c r="F76" s="58"/>
      <c r="G76" s="26"/>
      <c r="H76" s="26"/>
      <c r="I76" s="26"/>
      <c r="J76" s="26"/>
      <c r="K76" s="27"/>
      <c r="L76" s="29"/>
    </row>
    <row r="77" spans="3:12" ht="27" customHeight="1" x14ac:dyDescent="0.35">
      <c r="C77" s="56" t="s">
        <v>264</v>
      </c>
      <c r="D77" s="57"/>
      <c r="E77" s="57"/>
      <c r="F77" s="58"/>
      <c r="G77" s="26"/>
      <c r="H77" s="26"/>
      <c r="I77" s="26"/>
      <c r="J77" s="26"/>
      <c r="K77" s="27"/>
      <c r="L77" s="29"/>
    </row>
    <row r="78" spans="3:12" ht="27" customHeight="1" x14ac:dyDescent="0.35">
      <c r="C78" s="56"/>
      <c r="D78" s="57"/>
      <c r="E78" s="57"/>
      <c r="F78" s="58"/>
      <c r="G78" s="26"/>
      <c r="H78" s="26"/>
      <c r="I78" s="26"/>
      <c r="J78" s="26"/>
      <c r="K78" s="27"/>
      <c r="L78" s="29"/>
    </row>
    <row r="79" spans="3:12" ht="27" customHeight="1" x14ac:dyDescent="0.35">
      <c r="C79" s="56" t="s">
        <v>265</v>
      </c>
      <c r="D79" s="57"/>
      <c r="E79" s="57"/>
      <c r="F79" s="58"/>
      <c r="G79" s="26"/>
      <c r="H79" s="26"/>
      <c r="I79" s="26"/>
      <c r="J79" s="26"/>
      <c r="K79" s="27"/>
      <c r="L79" s="29"/>
    </row>
    <row r="80" spans="3:12" ht="27" customHeight="1" x14ac:dyDescent="0.35">
      <c r="C80" s="38"/>
      <c r="D80" s="26"/>
      <c r="E80" s="26"/>
      <c r="F80" s="39"/>
      <c r="G80" s="26"/>
      <c r="H80" s="26"/>
      <c r="I80" s="26"/>
      <c r="J80" s="26"/>
      <c r="K80" s="27"/>
      <c r="L80" s="29"/>
    </row>
    <row r="81" spans="3:12" ht="27" customHeight="1" x14ac:dyDescent="0.35">
      <c r="C81" s="38"/>
      <c r="D81" s="26"/>
      <c r="E81" s="26"/>
      <c r="F81" s="39"/>
      <c r="G81" s="26"/>
      <c r="H81" s="26"/>
      <c r="I81" s="26"/>
      <c r="J81" s="26"/>
      <c r="K81" s="27"/>
      <c r="L81" s="29"/>
    </row>
    <row r="82" spans="3:12" ht="27" customHeight="1" x14ac:dyDescent="0.35">
      <c r="C82" s="38"/>
      <c r="D82" s="26"/>
      <c r="E82" s="26"/>
      <c r="F82" s="39"/>
      <c r="G82" s="26"/>
      <c r="H82" s="26"/>
      <c r="I82" s="26"/>
      <c r="J82" s="26"/>
      <c r="K82" s="27"/>
      <c r="L82" s="29"/>
    </row>
    <row r="83" spans="3:12" ht="27" customHeight="1" x14ac:dyDescent="0.35">
      <c r="C83" s="38"/>
      <c r="D83" s="26"/>
      <c r="E83" s="26"/>
      <c r="F83" s="39"/>
      <c r="G83" s="26"/>
      <c r="H83" s="26"/>
      <c r="I83" s="26"/>
      <c r="J83" s="26"/>
      <c r="K83" s="27"/>
      <c r="L83" s="29"/>
    </row>
    <row r="84" spans="3:12" ht="27" customHeight="1" x14ac:dyDescent="0.35">
      <c r="C84" s="87" t="s">
        <v>267</v>
      </c>
      <c r="D84" s="26"/>
      <c r="E84" s="26"/>
      <c r="F84" s="26"/>
      <c r="G84" s="26"/>
      <c r="H84" s="26"/>
      <c r="I84" s="26"/>
      <c r="J84" s="26"/>
      <c r="K84" s="27"/>
      <c r="L84" s="29"/>
    </row>
    <row r="85" spans="3:12" ht="27" customHeight="1" x14ac:dyDescent="0.25">
      <c r="C85" s="111" t="s">
        <v>89</v>
      </c>
      <c r="D85" s="111"/>
      <c r="E85" s="111"/>
      <c r="F85" s="111"/>
      <c r="G85" s="111"/>
      <c r="H85" s="111"/>
      <c r="I85" s="111"/>
      <c r="J85" s="111"/>
      <c r="K85" s="111"/>
      <c r="L85" s="112"/>
    </row>
    <row r="86" spans="3:12" ht="27" customHeight="1" thickBot="1" x14ac:dyDescent="0.35">
      <c r="C86" s="59"/>
      <c r="D86" s="59"/>
      <c r="E86" s="57"/>
      <c r="F86" s="57"/>
      <c r="G86" s="59"/>
      <c r="H86" s="59"/>
      <c r="I86" s="59"/>
      <c r="J86" s="59"/>
      <c r="K86" s="59"/>
      <c r="L86" s="60"/>
    </row>
    <row r="87" spans="3:12" ht="27" customHeight="1" x14ac:dyDescent="0.3">
      <c r="C87" s="149" t="s">
        <v>90</v>
      </c>
      <c r="D87" s="150"/>
      <c r="E87" s="61"/>
      <c r="F87" s="62"/>
      <c r="G87" s="151" t="s">
        <v>41</v>
      </c>
      <c r="H87" s="151"/>
      <c r="I87" s="151"/>
      <c r="J87" s="151"/>
      <c r="K87" s="151"/>
      <c r="L87" s="152"/>
    </row>
    <row r="88" spans="3:12" ht="27" customHeight="1" x14ac:dyDescent="0.25">
      <c r="C88" s="63" t="s">
        <v>33</v>
      </c>
      <c r="D88" s="64" t="s">
        <v>44</v>
      </c>
      <c r="E88" s="65"/>
      <c r="F88" s="66"/>
      <c r="G88" s="171" t="s">
        <v>42</v>
      </c>
      <c r="H88" s="171"/>
      <c r="I88" s="171"/>
      <c r="J88" s="171"/>
      <c r="K88" s="171"/>
      <c r="L88" s="172"/>
    </row>
    <row r="89" spans="3:12" ht="27" customHeight="1" x14ac:dyDescent="0.25">
      <c r="C89" s="63" t="s">
        <v>34</v>
      </c>
      <c r="D89" s="64" t="s">
        <v>46</v>
      </c>
      <c r="E89" s="65"/>
      <c r="F89" s="66"/>
      <c r="G89" s="171" t="s">
        <v>38</v>
      </c>
      <c r="H89" s="171"/>
      <c r="I89" s="171"/>
      <c r="J89" s="171"/>
      <c r="K89" s="171"/>
      <c r="L89" s="172"/>
    </row>
    <row r="90" spans="3:12" ht="27" customHeight="1" x14ac:dyDescent="0.25">
      <c r="C90" s="63" t="s">
        <v>35</v>
      </c>
      <c r="D90" s="64" t="s">
        <v>43</v>
      </c>
      <c r="E90" s="65"/>
      <c r="F90" s="66"/>
      <c r="G90" s="171" t="s">
        <v>39</v>
      </c>
      <c r="H90" s="171"/>
      <c r="I90" s="171"/>
      <c r="J90" s="171"/>
      <c r="K90" s="171"/>
      <c r="L90" s="172"/>
    </row>
    <row r="91" spans="3:12" ht="27" customHeight="1" thickBot="1" x14ac:dyDescent="0.3">
      <c r="C91" s="67" t="s">
        <v>36</v>
      </c>
      <c r="D91" s="68" t="s">
        <v>45</v>
      </c>
      <c r="E91" s="69"/>
      <c r="F91" s="70"/>
      <c r="G91" s="173" t="s">
        <v>40</v>
      </c>
      <c r="H91" s="173"/>
      <c r="I91" s="173"/>
      <c r="J91" s="173"/>
      <c r="K91" s="173"/>
      <c r="L91" s="174"/>
    </row>
    <row r="92" spans="3:12" ht="27" customHeight="1" x14ac:dyDescent="0.35">
      <c r="C92" s="57"/>
      <c r="D92" s="57"/>
      <c r="E92" s="57"/>
      <c r="F92" s="57"/>
      <c r="G92" s="57"/>
      <c r="H92" s="57"/>
      <c r="I92" s="57"/>
      <c r="J92" s="57"/>
      <c r="K92" s="71"/>
      <c r="L92" s="60"/>
    </row>
    <row r="93" spans="3:12" ht="27" customHeight="1" thickBot="1" x14ac:dyDescent="0.4">
      <c r="C93" s="57"/>
      <c r="D93" s="57"/>
      <c r="E93" s="57"/>
      <c r="F93" s="57"/>
      <c r="G93" s="57"/>
      <c r="H93" s="57"/>
      <c r="I93" s="57"/>
      <c r="J93" s="57"/>
      <c r="K93" s="71"/>
      <c r="L93" s="60"/>
    </row>
    <row r="94" spans="3:12" ht="27" customHeight="1" x14ac:dyDescent="0.3">
      <c r="C94" s="149" t="s">
        <v>51</v>
      </c>
      <c r="D94" s="150"/>
      <c r="E94" s="61"/>
      <c r="F94" s="62"/>
      <c r="G94" s="151" t="s">
        <v>51</v>
      </c>
      <c r="H94" s="151"/>
      <c r="I94" s="151"/>
      <c r="J94" s="151"/>
      <c r="K94" s="151"/>
      <c r="L94" s="152"/>
    </row>
    <row r="95" spans="3:12" ht="27" customHeight="1" x14ac:dyDescent="0.25">
      <c r="C95" s="63" t="s">
        <v>48</v>
      </c>
      <c r="D95" s="64" t="s">
        <v>49</v>
      </c>
      <c r="E95" s="65"/>
      <c r="F95" s="66"/>
      <c r="G95" s="171" t="s">
        <v>37</v>
      </c>
      <c r="H95" s="171"/>
      <c r="I95" s="171"/>
      <c r="J95" s="171"/>
      <c r="K95" s="171"/>
      <c r="L95" s="172"/>
    </row>
    <row r="96" spans="3:12" ht="27" customHeight="1" x14ac:dyDescent="0.25">
      <c r="C96" s="63" t="s">
        <v>34</v>
      </c>
      <c r="D96" s="64" t="s">
        <v>50</v>
      </c>
      <c r="E96" s="65"/>
      <c r="F96" s="66"/>
      <c r="G96" s="171" t="s">
        <v>38</v>
      </c>
      <c r="H96" s="171"/>
      <c r="I96" s="171"/>
      <c r="J96" s="171"/>
      <c r="K96" s="171"/>
      <c r="L96" s="172"/>
    </row>
    <row r="97" spans="3:12" ht="27" customHeight="1" x14ac:dyDescent="0.25">
      <c r="C97" s="63" t="s">
        <v>35</v>
      </c>
      <c r="D97" s="64" t="s">
        <v>47</v>
      </c>
      <c r="E97" s="65"/>
      <c r="F97" s="66"/>
      <c r="G97" s="171" t="s">
        <v>39</v>
      </c>
      <c r="H97" s="171"/>
      <c r="I97" s="171"/>
      <c r="J97" s="171"/>
      <c r="K97" s="171"/>
      <c r="L97" s="172"/>
    </row>
    <row r="98" spans="3:12" ht="27" customHeight="1" thickBot="1" x14ac:dyDescent="0.3">
      <c r="C98" s="67" t="s">
        <v>36</v>
      </c>
      <c r="D98" s="68"/>
      <c r="E98" s="69"/>
      <c r="F98" s="70"/>
      <c r="G98" s="173" t="s">
        <v>40</v>
      </c>
      <c r="H98" s="173"/>
      <c r="I98" s="173"/>
      <c r="J98" s="173"/>
      <c r="K98" s="173"/>
      <c r="L98" s="174"/>
    </row>
    <row r="99" spans="3:12" x14ac:dyDescent="0.25">
      <c r="C99" s="59"/>
      <c r="D99" s="59"/>
      <c r="E99" s="59"/>
      <c r="F99" s="59"/>
      <c r="G99" s="59"/>
      <c r="H99" s="59"/>
      <c r="I99" s="59"/>
      <c r="J99" s="59"/>
      <c r="K99" s="59"/>
      <c r="L99" s="59"/>
    </row>
    <row r="100" spans="3:12" ht="27" customHeight="1" x14ac:dyDescent="0.25">
      <c r="C100" s="111" t="s">
        <v>93</v>
      </c>
      <c r="D100" s="111"/>
      <c r="E100" s="111"/>
      <c r="F100" s="111"/>
      <c r="G100" s="111"/>
      <c r="H100" s="111"/>
      <c r="I100" s="111"/>
      <c r="J100" s="111"/>
      <c r="K100" s="111"/>
      <c r="L100" s="112"/>
    </row>
    <row r="101" spans="3:12" ht="27" customHeight="1" x14ac:dyDescent="0.25"/>
    <row r="102" spans="3:12" ht="27" customHeight="1" x14ac:dyDescent="0.25">
      <c r="C102" s="40" t="s">
        <v>94</v>
      </c>
      <c r="D102" s="40"/>
      <c r="E102" s="40"/>
      <c r="F102" s="40"/>
      <c r="G102" s="40"/>
      <c r="H102" s="40"/>
      <c r="I102" s="40"/>
      <c r="J102" s="40"/>
      <c r="K102" s="40"/>
      <c r="L102" s="40"/>
    </row>
    <row r="103" spans="3:12" ht="27" customHeight="1" x14ac:dyDescent="0.25">
      <c r="C103" s="41" t="s">
        <v>94</v>
      </c>
      <c r="D103" s="41"/>
      <c r="E103" s="41"/>
      <c r="F103" s="41"/>
      <c r="G103" s="41"/>
      <c r="H103" s="41"/>
      <c r="I103" s="41"/>
      <c r="J103" s="41"/>
      <c r="K103" s="41"/>
      <c r="L103" s="41"/>
    </row>
    <row r="104" spans="3:12" ht="27" customHeight="1" x14ac:dyDescent="0.25">
      <c r="C104" s="41" t="s">
        <v>94</v>
      </c>
      <c r="D104" s="41"/>
      <c r="E104" s="41"/>
      <c r="F104" s="41"/>
      <c r="G104" s="41"/>
      <c r="H104" s="41"/>
      <c r="I104" s="41"/>
      <c r="J104" s="41"/>
      <c r="K104" s="41"/>
      <c r="L104" s="41"/>
    </row>
    <row r="105" spans="3:12" ht="27" customHeight="1" x14ac:dyDescent="0.25">
      <c r="C105" s="41" t="s">
        <v>94</v>
      </c>
      <c r="D105" s="41"/>
      <c r="E105" s="41"/>
      <c r="F105" s="41"/>
      <c r="G105" s="41"/>
      <c r="H105" s="41"/>
      <c r="I105" s="41"/>
      <c r="J105" s="41"/>
      <c r="K105" s="41"/>
      <c r="L105" s="41"/>
    </row>
    <row r="106" spans="3:12" ht="27" customHeight="1" x14ac:dyDescent="0.25">
      <c r="C106" s="41" t="s">
        <v>94</v>
      </c>
      <c r="D106" s="41"/>
      <c r="E106" s="41"/>
      <c r="F106" s="41"/>
      <c r="G106" s="41"/>
      <c r="H106" s="41"/>
      <c r="I106" s="41"/>
      <c r="J106" s="41"/>
      <c r="K106" s="41"/>
      <c r="L106" s="41"/>
    </row>
    <row r="107" spans="3:12" ht="27" customHeight="1" x14ac:dyDescent="0.25">
      <c r="C107" s="41" t="s">
        <v>94</v>
      </c>
      <c r="D107" s="41"/>
      <c r="E107" s="41"/>
      <c r="F107" s="41"/>
      <c r="G107" s="41"/>
      <c r="H107" s="41"/>
      <c r="I107" s="41"/>
      <c r="J107" s="41"/>
      <c r="K107" s="41"/>
      <c r="L107" s="41"/>
    </row>
    <row r="108" spans="3:12" ht="27" customHeight="1" x14ac:dyDescent="0.25">
      <c r="C108" s="41" t="s">
        <v>94</v>
      </c>
      <c r="D108" s="41"/>
      <c r="E108" s="41"/>
      <c r="F108" s="41"/>
      <c r="G108" s="41"/>
      <c r="H108" s="41"/>
      <c r="I108" s="41"/>
      <c r="J108" s="41"/>
      <c r="K108" s="41"/>
      <c r="L108" s="41"/>
    </row>
    <row r="109" spans="3:12" ht="27" customHeight="1" x14ac:dyDescent="0.25">
      <c r="C109" s="41" t="s">
        <v>94</v>
      </c>
      <c r="D109" s="41"/>
      <c r="E109" s="41"/>
      <c r="F109" s="41"/>
      <c r="G109" s="41"/>
      <c r="H109" s="41"/>
      <c r="I109" s="41"/>
      <c r="J109" s="41"/>
      <c r="K109" s="41"/>
      <c r="L109" s="41"/>
    </row>
    <row r="110" spans="3:12" ht="27" customHeight="1" x14ac:dyDescent="0.25">
      <c r="C110" s="41" t="s">
        <v>94</v>
      </c>
      <c r="D110" s="41"/>
      <c r="E110" s="41"/>
      <c r="F110" s="41"/>
      <c r="G110" s="41"/>
      <c r="H110" s="41"/>
      <c r="I110" s="41"/>
      <c r="J110" s="41"/>
      <c r="K110" s="41"/>
      <c r="L110" s="41"/>
    </row>
    <row r="111" spans="3:12" ht="27" customHeight="1" x14ac:dyDescent="0.25">
      <c r="C111" s="41" t="s">
        <v>94</v>
      </c>
      <c r="D111" s="41"/>
      <c r="E111" s="41"/>
      <c r="F111" s="41"/>
      <c r="G111" s="41"/>
      <c r="H111" s="41"/>
      <c r="I111" s="41"/>
      <c r="J111" s="41"/>
      <c r="K111" s="41"/>
      <c r="L111" s="41"/>
    </row>
    <row r="112" spans="3:12" ht="27" customHeight="1" x14ac:dyDescent="0.25">
      <c r="C112" s="41" t="s">
        <v>94</v>
      </c>
      <c r="D112" s="41"/>
      <c r="E112" s="41"/>
      <c r="F112" s="41"/>
      <c r="G112" s="41"/>
      <c r="H112" s="41"/>
      <c r="I112" s="41"/>
      <c r="J112" s="41"/>
      <c r="K112" s="41"/>
      <c r="L112" s="41"/>
    </row>
    <row r="113" spans="3:12" ht="27" customHeight="1" x14ac:dyDescent="0.25">
      <c r="C113" s="41" t="s">
        <v>94</v>
      </c>
      <c r="D113" s="41"/>
      <c r="E113" s="41"/>
      <c r="F113" s="41"/>
      <c r="G113" s="41"/>
      <c r="H113" s="41"/>
      <c r="I113" s="41"/>
      <c r="J113" s="41"/>
      <c r="K113" s="41"/>
      <c r="L113" s="41"/>
    </row>
    <row r="114" spans="3:12" ht="27" customHeight="1" thickBot="1" x14ac:dyDescent="0.3"/>
    <row r="115" spans="3:12" ht="27" customHeight="1" thickBot="1" x14ac:dyDescent="0.3">
      <c r="C115" s="168" t="s">
        <v>91</v>
      </c>
      <c r="D115" s="169"/>
      <c r="G115" s="168" t="s">
        <v>92</v>
      </c>
      <c r="H115" s="170"/>
      <c r="I115" s="170"/>
      <c r="J115" s="170"/>
      <c r="K115" s="170"/>
      <c r="L115" s="169"/>
    </row>
    <row r="116" spans="3:12" ht="27" customHeight="1" x14ac:dyDescent="0.25"/>
    <row r="117" spans="3:12" ht="27" customHeight="1" x14ac:dyDescent="0.25"/>
    <row r="118" spans="3:12" ht="27" customHeight="1" x14ac:dyDescent="0.25"/>
    <row r="119" spans="3:12" ht="27" customHeight="1" x14ac:dyDescent="0.25"/>
    <row r="120" spans="3:12" ht="27" customHeight="1" x14ac:dyDescent="0.25"/>
    <row r="121" spans="3:12" ht="27" customHeight="1" x14ac:dyDescent="0.25"/>
    <row r="122" spans="3:12" ht="27" customHeight="1" x14ac:dyDescent="0.25"/>
    <row r="123" spans="3:12" ht="27" customHeight="1" x14ac:dyDescent="0.25"/>
    <row r="124" spans="3:12" ht="27" customHeight="1" x14ac:dyDescent="0.25"/>
    <row r="125" spans="3:12" ht="27" customHeight="1" x14ac:dyDescent="0.25"/>
    <row r="126" spans="3:12" ht="27" customHeight="1" x14ac:dyDescent="0.25"/>
    <row r="127" spans="3:12" ht="27" customHeight="1" x14ac:dyDescent="0.25"/>
    <row r="128" spans="3:12" ht="27" customHeight="1" x14ac:dyDescent="0.25"/>
    <row r="129" spans="3:11" ht="27" customHeight="1" x14ac:dyDescent="0.25"/>
    <row r="130" spans="3:11" ht="27" customHeight="1" x14ac:dyDescent="0.25"/>
    <row r="132" spans="3:11" x14ac:dyDescent="0.25">
      <c r="C132" s="26"/>
      <c r="D132" s="26"/>
      <c r="E132" s="26"/>
      <c r="F132" s="26"/>
      <c r="G132" s="26"/>
      <c r="H132" s="26"/>
      <c r="I132" s="26"/>
      <c r="J132" s="26"/>
      <c r="K132" s="15"/>
    </row>
  </sheetData>
  <sheetProtection selectLockedCells="1"/>
  <mergeCells count="53">
    <mergeCell ref="C87:D87"/>
    <mergeCell ref="C115:D115"/>
    <mergeCell ref="G115:L115"/>
    <mergeCell ref="G88:L88"/>
    <mergeCell ref="G89:L89"/>
    <mergeCell ref="G90:L90"/>
    <mergeCell ref="G91:L91"/>
    <mergeCell ref="C94:D94"/>
    <mergeCell ref="G94:L94"/>
    <mergeCell ref="G95:L95"/>
    <mergeCell ref="G96:L96"/>
    <mergeCell ref="G97:L97"/>
    <mergeCell ref="G98:L98"/>
    <mergeCell ref="C100:L100"/>
    <mergeCell ref="G87:L87"/>
    <mergeCell ref="F66:I66"/>
    <mergeCell ref="C56:D56"/>
    <mergeCell ref="F56:J56"/>
    <mergeCell ref="F57:J57"/>
    <mergeCell ref="F58:J58"/>
    <mergeCell ref="F60:I60"/>
    <mergeCell ref="F61:G61"/>
    <mergeCell ref="F62:G62"/>
    <mergeCell ref="H62:I62"/>
    <mergeCell ref="F63:G63"/>
    <mergeCell ref="H63:I63"/>
    <mergeCell ref="F65:I65"/>
    <mergeCell ref="C68:L68"/>
    <mergeCell ref="C70:L70"/>
    <mergeCell ref="C85:L85"/>
    <mergeCell ref="F55:J55"/>
    <mergeCell ref="J19:L19"/>
    <mergeCell ref="C21:L21"/>
    <mergeCell ref="D22:L22"/>
    <mergeCell ref="D23:L23"/>
    <mergeCell ref="D24:L24"/>
    <mergeCell ref="D25:L25"/>
    <mergeCell ref="D26:L26"/>
    <mergeCell ref="C28:L28"/>
    <mergeCell ref="D29:L29"/>
    <mergeCell ref="G31:J31"/>
    <mergeCell ref="D32:L32"/>
    <mergeCell ref="C35:L35"/>
    <mergeCell ref="C12:L12"/>
    <mergeCell ref="B15:B26"/>
    <mergeCell ref="C15:L15"/>
    <mergeCell ref="C16:D16"/>
    <mergeCell ref="J16:L16"/>
    <mergeCell ref="C17:D17"/>
    <mergeCell ref="J17:L17"/>
    <mergeCell ref="C18:D18"/>
    <mergeCell ref="J18:L18"/>
    <mergeCell ref="C19:D19"/>
  </mergeCells>
  <dataValidations count="1">
    <dataValidation type="whole" allowBlank="1" showInputMessage="1" showErrorMessage="1" sqref="I37:I39">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49153"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49154"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49155"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49156"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49157"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49158"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49159"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49160"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49161"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49162" r:id="rId13" name="Check Box 10">
              <controlPr defaultSize="0" autoFill="0" autoLine="0" autoPict="0">
                <anchor moveWithCells="1">
                  <from>
                    <xdr:col>6</xdr:col>
                    <xdr:colOff>685800</xdr:colOff>
                    <xdr:row>55</xdr:row>
                    <xdr:rowOff>28575</xdr:rowOff>
                  </from>
                  <to>
                    <xdr:col>8</xdr:col>
                    <xdr:colOff>190500</xdr:colOff>
                    <xdr:row>55</xdr:row>
                    <xdr:rowOff>285750</xdr:rowOff>
                  </to>
                </anchor>
              </controlPr>
            </control>
          </mc:Choice>
        </mc:AlternateContent>
        <mc:AlternateContent xmlns:mc="http://schemas.openxmlformats.org/markup-compatibility/2006">
          <mc:Choice Requires="x14">
            <control shapeId="49163" r:id="rId14" name="Check Box 11">
              <controlPr defaultSize="0" autoFill="0" autoLine="0" autoPict="0">
                <anchor moveWithCells="1">
                  <from>
                    <xdr:col>5</xdr:col>
                    <xdr:colOff>1276350</xdr:colOff>
                    <xdr:row>55</xdr:row>
                    <xdr:rowOff>323850</xdr:rowOff>
                  </from>
                  <to>
                    <xdr:col>8</xdr:col>
                    <xdr:colOff>695325</xdr:colOff>
                    <xdr:row>56</xdr:row>
                    <xdr:rowOff>323850</xdr:rowOff>
                  </to>
                </anchor>
              </controlPr>
            </control>
          </mc:Choice>
        </mc:AlternateContent>
        <mc:AlternateContent xmlns:mc="http://schemas.openxmlformats.org/markup-compatibility/2006">
          <mc:Choice Requires="x14">
            <control shapeId="49164" r:id="rId15" name="Check Box 12">
              <controlPr defaultSize="0" autoFill="0" autoLine="0" autoPict="0">
                <anchor moveWithCells="1">
                  <from>
                    <xdr:col>6</xdr:col>
                    <xdr:colOff>295275</xdr:colOff>
                    <xdr:row>56</xdr:row>
                    <xdr:rowOff>333375</xdr:rowOff>
                  </from>
                  <to>
                    <xdr:col>8</xdr:col>
                    <xdr:colOff>9525</xdr:colOff>
                    <xdr:row>58</xdr:row>
                    <xdr:rowOff>0</xdr:rowOff>
                  </to>
                </anchor>
              </controlPr>
            </control>
          </mc:Choice>
        </mc:AlternateContent>
        <mc:AlternateContent xmlns:mc="http://schemas.openxmlformats.org/markup-compatibility/2006">
          <mc:Choice Requires="x14">
            <control shapeId="49165" r:id="rId16" name="Check Box 13">
              <controlPr defaultSize="0" autoFill="0" autoLine="0" autoPict="0">
                <anchor moveWithCells="1">
                  <from>
                    <xdr:col>5</xdr:col>
                    <xdr:colOff>171450</xdr:colOff>
                    <xdr:row>61</xdr:row>
                    <xdr:rowOff>57150</xdr:rowOff>
                  </from>
                  <to>
                    <xdr:col>6</xdr:col>
                    <xdr:colOff>1019175</xdr:colOff>
                    <xdr:row>61</xdr:row>
                    <xdr:rowOff>314325</xdr:rowOff>
                  </to>
                </anchor>
              </controlPr>
            </control>
          </mc:Choice>
        </mc:AlternateContent>
        <mc:AlternateContent xmlns:mc="http://schemas.openxmlformats.org/markup-compatibility/2006">
          <mc:Choice Requires="x14">
            <control shapeId="49166" r:id="rId17" name="Check Box 14">
              <controlPr defaultSize="0" autoFill="0" autoLine="0" autoPict="0">
                <anchor moveWithCells="1">
                  <from>
                    <xdr:col>5</xdr:col>
                    <xdr:colOff>952500</xdr:colOff>
                    <xdr:row>60</xdr:row>
                    <xdr:rowOff>28575</xdr:rowOff>
                  </from>
                  <to>
                    <xdr:col>6</xdr:col>
                    <xdr:colOff>419100</xdr:colOff>
                    <xdr:row>60</xdr:row>
                    <xdr:rowOff>276225</xdr:rowOff>
                  </to>
                </anchor>
              </controlPr>
            </control>
          </mc:Choice>
        </mc:AlternateContent>
        <mc:AlternateContent xmlns:mc="http://schemas.openxmlformats.org/markup-compatibility/2006">
          <mc:Choice Requires="x14">
            <control shapeId="49167" r:id="rId18" name="Check Box 15">
              <controlPr defaultSize="0" autoFill="0" autoLine="0" autoPict="0">
                <anchor moveWithCells="1">
                  <from>
                    <xdr:col>5</xdr:col>
                    <xdr:colOff>180975</xdr:colOff>
                    <xdr:row>62</xdr:row>
                    <xdr:rowOff>38100</xdr:rowOff>
                  </from>
                  <to>
                    <xdr:col>6</xdr:col>
                    <xdr:colOff>990600</xdr:colOff>
                    <xdr:row>62</xdr:row>
                    <xdr:rowOff>295275</xdr:rowOff>
                  </to>
                </anchor>
              </controlPr>
            </control>
          </mc:Choice>
        </mc:AlternateContent>
        <mc:AlternateContent xmlns:mc="http://schemas.openxmlformats.org/markup-compatibility/2006">
          <mc:Choice Requires="x14">
            <control shapeId="49168" r:id="rId19" name="Check Box 16">
              <controlPr defaultSize="0" autoFill="0" autoLine="0" autoPict="0">
                <anchor moveWithCells="1">
                  <from>
                    <xdr:col>7</xdr:col>
                    <xdr:colOff>257175</xdr:colOff>
                    <xdr:row>61</xdr:row>
                    <xdr:rowOff>57150</xdr:rowOff>
                  </from>
                  <to>
                    <xdr:col>8</xdr:col>
                    <xdr:colOff>962025</xdr:colOff>
                    <xdr:row>61</xdr:row>
                    <xdr:rowOff>285750</xdr:rowOff>
                  </to>
                </anchor>
              </controlPr>
            </control>
          </mc:Choice>
        </mc:AlternateContent>
        <mc:AlternateContent xmlns:mc="http://schemas.openxmlformats.org/markup-compatibility/2006">
          <mc:Choice Requires="x14">
            <control shapeId="49169" r:id="rId20" name="Check Box 17">
              <controlPr defaultSize="0" autoFill="0" autoLine="0" autoPict="0">
                <anchor moveWithCells="1">
                  <from>
                    <xdr:col>7</xdr:col>
                    <xdr:colOff>866775</xdr:colOff>
                    <xdr:row>62</xdr:row>
                    <xdr:rowOff>38100</xdr:rowOff>
                  </from>
                  <to>
                    <xdr:col>8</xdr:col>
                    <xdr:colOff>476250</xdr:colOff>
                    <xdr:row>62</xdr:row>
                    <xdr:rowOff>295275</xdr:rowOff>
                  </to>
                </anchor>
              </controlPr>
            </control>
          </mc:Choice>
        </mc:AlternateContent>
        <mc:AlternateContent xmlns:mc="http://schemas.openxmlformats.org/markup-compatibility/2006">
          <mc:Choice Requires="x14">
            <control shapeId="49170"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132"/>
  <sheetViews>
    <sheetView zoomScale="70" zoomScaleNormal="70" workbookViewId="0">
      <selection activeCell="G124" sqref="G124"/>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93"/>
    </row>
    <row r="14" spans="2:12" ht="26.25" customHeight="1" thickBot="1" x14ac:dyDescent="0.3">
      <c r="K14" s="50" t="s">
        <v>107</v>
      </c>
      <c r="L14" s="78">
        <v>46091</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292</v>
      </c>
      <c r="E22" s="118"/>
      <c r="F22" s="118"/>
      <c r="G22" s="118"/>
      <c r="H22" s="118"/>
      <c r="I22" s="118"/>
      <c r="J22" s="118"/>
      <c r="K22" s="118"/>
      <c r="L22" s="119"/>
    </row>
    <row r="23" spans="2:12" ht="27" customHeight="1" thickBot="1" x14ac:dyDescent="0.3">
      <c r="B23" s="99"/>
      <c r="C23" s="48" t="s">
        <v>102</v>
      </c>
      <c r="D23" s="120" t="s">
        <v>293</v>
      </c>
      <c r="E23" s="121"/>
      <c r="F23" s="121"/>
      <c r="G23" s="121"/>
      <c r="H23" s="121"/>
      <c r="I23" s="121"/>
      <c r="J23" s="121"/>
      <c r="K23" s="121"/>
      <c r="L23" s="122"/>
    </row>
    <row r="24" spans="2:12" ht="27" customHeight="1" thickBot="1" x14ac:dyDescent="0.3">
      <c r="B24" s="99"/>
      <c r="C24" s="49" t="s">
        <v>103</v>
      </c>
      <c r="D24" s="177" t="s">
        <v>294</v>
      </c>
      <c r="E24" s="178"/>
      <c r="F24" s="178"/>
      <c r="G24" s="178"/>
      <c r="H24" s="178"/>
      <c r="I24" s="178"/>
      <c r="J24" s="178"/>
      <c r="K24" s="178"/>
      <c r="L24" s="179"/>
    </row>
    <row r="25" spans="2:12" ht="27" customHeight="1" thickBot="1" x14ac:dyDescent="0.3">
      <c r="B25" s="99"/>
      <c r="C25" s="47" t="s">
        <v>104</v>
      </c>
      <c r="D25" s="120" t="s">
        <v>273</v>
      </c>
      <c r="E25" s="121"/>
      <c r="F25" s="121"/>
      <c r="G25" s="121"/>
      <c r="H25" s="121"/>
      <c r="I25" s="121"/>
      <c r="J25" s="121"/>
      <c r="K25" s="121"/>
      <c r="L25" s="122"/>
    </row>
    <row r="26" spans="2:12" ht="27" customHeight="1" thickBot="1" x14ac:dyDescent="0.3">
      <c r="B26" s="99"/>
      <c r="C26" s="50" t="s">
        <v>105</v>
      </c>
      <c r="D26" s="126" t="s">
        <v>295</v>
      </c>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t="s">
        <v>274</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296</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35">
      <c r="C34" s="26"/>
      <c r="D34" s="26"/>
      <c r="E34" s="26"/>
      <c r="F34" s="26"/>
      <c r="G34" s="26"/>
      <c r="H34" s="26"/>
      <c r="I34" s="26"/>
      <c r="J34" s="26"/>
      <c r="K34" s="27"/>
      <c r="L34" s="28"/>
    </row>
    <row r="35" spans="3:12" ht="27" customHeight="1" x14ac:dyDescent="0.25">
      <c r="C35" s="111" t="s">
        <v>16</v>
      </c>
      <c r="D35" s="111"/>
      <c r="E35" s="111"/>
      <c r="F35" s="111"/>
      <c r="G35" s="111"/>
      <c r="H35" s="111"/>
      <c r="I35" s="111"/>
      <c r="J35" s="111"/>
      <c r="K35" s="111"/>
      <c r="L35" s="112"/>
    </row>
    <row r="36" spans="3:12" ht="27" customHeight="1" x14ac:dyDescent="0.25">
      <c r="C36" s="51" t="s">
        <v>1</v>
      </c>
      <c r="D36" s="51" t="s">
        <v>2</v>
      </c>
      <c r="E36" s="51" t="s">
        <v>3</v>
      </c>
      <c r="F36" s="51" t="s">
        <v>4</v>
      </c>
      <c r="G36" s="51" t="s">
        <v>5</v>
      </c>
      <c r="H36" s="51" t="s">
        <v>133</v>
      </c>
      <c r="I36" s="51" t="s">
        <v>134</v>
      </c>
      <c r="J36" s="51" t="s">
        <v>6</v>
      </c>
      <c r="K36" s="51" t="s">
        <v>7</v>
      </c>
      <c r="L36" s="51" t="s">
        <v>8</v>
      </c>
    </row>
    <row r="37" spans="3:12" ht="27" customHeight="1" x14ac:dyDescent="0.3">
      <c r="C37" s="17" t="s">
        <v>275</v>
      </c>
      <c r="D37" s="18" t="s">
        <v>276</v>
      </c>
      <c r="E37" s="19"/>
      <c r="F37" s="17"/>
      <c r="G37" s="19">
        <v>223</v>
      </c>
      <c r="H37" s="82">
        <v>182</v>
      </c>
      <c r="I37" s="45">
        <v>50</v>
      </c>
      <c r="J37" s="52" t="s">
        <v>9</v>
      </c>
      <c r="K37" s="83">
        <f>ROUND(H37*(1-I37/100),2)</f>
        <v>91</v>
      </c>
      <c r="L37" s="84">
        <f t="shared" ref="L37:L39" si="0">K37*G37</f>
        <v>20293</v>
      </c>
    </row>
    <row r="38" spans="3:12" ht="27" customHeight="1" x14ac:dyDescent="0.3">
      <c r="C38" s="17" t="s">
        <v>278</v>
      </c>
      <c r="D38" s="18" t="s">
        <v>279</v>
      </c>
      <c r="E38" s="19"/>
      <c r="F38" s="17"/>
      <c r="G38" s="19">
        <v>36</v>
      </c>
      <c r="H38" s="82">
        <v>196</v>
      </c>
      <c r="I38" s="45">
        <v>50</v>
      </c>
      <c r="J38" s="52" t="s">
        <v>9</v>
      </c>
      <c r="K38" s="83">
        <f t="shared" ref="K38:K39" si="1">ROUND(H38*(1-I38/100),2)</f>
        <v>98</v>
      </c>
      <c r="L38" s="84">
        <f t="shared" si="0"/>
        <v>3528</v>
      </c>
    </row>
    <row r="39" spans="3:12" ht="27" customHeight="1" x14ac:dyDescent="0.3">
      <c r="C39" s="17" t="s">
        <v>278</v>
      </c>
      <c r="D39" s="18" t="s">
        <v>281</v>
      </c>
      <c r="E39" s="19"/>
      <c r="F39" s="17"/>
      <c r="G39" s="19">
        <v>24</v>
      </c>
      <c r="H39" s="82">
        <v>264.92</v>
      </c>
      <c r="I39" s="45">
        <v>50</v>
      </c>
      <c r="J39" s="52" t="s">
        <v>9</v>
      </c>
      <c r="K39" s="83">
        <f t="shared" si="1"/>
        <v>132.46</v>
      </c>
      <c r="L39" s="84">
        <f t="shared" si="0"/>
        <v>3179.04</v>
      </c>
    </row>
    <row r="40" spans="3:12" ht="27" customHeight="1" x14ac:dyDescent="0.35">
      <c r="D40" s="15"/>
      <c r="E40" s="15"/>
      <c r="F40" s="15"/>
      <c r="G40" s="16">
        <f>SUM(G37+G38+G39)</f>
        <v>283</v>
      </c>
      <c r="H40" s="6"/>
      <c r="I40" s="6"/>
      <c r="J40" s="15"/>
      <c r="K40" s="42" t="s">
        <v>10</v>
      </c>
      <c r="L40" s="85">
        <f>SUM(L37:L39)</f>
        <v>27000.04</v>
      </c>
    </row>
    <row r="41" spans="3:12" ht="27" customHeight="1" x14ac:dyDescent="0.35">
      <c r="D41" s="26"/>
      <c r="E41" s="26"/>
      <c r="F41" s="26"/>
      <c r="G41" s="26"/>
      <c r="H41" s="26"/>
      <c r="I41" s="26"/>
      <c r="J41" s="26"/>
      <c r="K41" s="42" t="s">
        <v>13</v>
      </c>
      <c r="L41" s="88">
        <f>L40</f>
        <v>27000.04</v>
      </c>
    </row>
    <row r="42" spans="3:12" ht="27" customHeight="1" x14ac:dyDescent="0.35">
      <c r="C42" s="92" t="s">
        <v>150</v>
      </c>
      <c r="D42" s="30"/>
      <c r="E42" s="26"/>
      <c r="F42" s="26"/>
      <c r="G42" s="26"/>
      <c r="H42" s="26"/>
      <c r="I42" s="26"/>
      <c r="J42" s="26"/>
      <c r="K42" s="27"/>
      <c r="L42" s="28"/>
    </row>
    <row r="43" spans="3:12" ht="27" customHeight="1" x14ac:dyDescent="0.35">
      <c r="C43" s="30" t="s">
        <v>213</v>
      </c>
      <c r="D43" s="30" t="s">
        <v>283</v>
      </c>
      <c r="F43" s="26"/>
      <c r="G43" s="26"/>
      <c r="H43" s="26"/>
      <c r="I43" s="26"/>
      <c r="J43" s="26"/>
      <c r="K43" s="27"/>
      <c r="L43" s="28"/>
    </row>
    <row r="44" spans="3:12" ht="27" customHeight="1" thickBot="1" x14ac:dyDescent="0.4">
      <c r="C44" s="30" t="s">
        <v>284</v>
      </c>
      <c r="D44" s="30" t="s">
        <v>285</v>
      </c>
      <c r="E44" s="26"/>
      <c r="F44" s="26"/>
      <c r="G44" s="26"/>
      <c r="H44" s="26"/>
      <c r="I44" s="26"/>
      <c r="J44" s="26"/>
      <c r="K44" s="27"/>
      <c r="L44" s="28"/>
    </row>
    <row r="45" spans="3:12" ht="27" customHeight="1" thickBot="1" x14ac:dyDescent="0.35">
      <c r="C45" s="30" t="s">
        <v>19</v>
      </c>
      <c r="D45" s="30" t="s">
        <v>286</v>
      </c>
      <c r="E45" s="26"/>
      <c r="F45" s="26"/>
      <c r="G45" s="26"/>
      <c r="H45" s="168" t="s">
        <v>300</v>
      </c>
      <c r="I45" s="170"/>
      <c r="J45" s="170"/>
      <c r="K45" s="170"/>
      <c r="L45" s="170"/>
    </row>
    <row r="46" spans="3:12" ht="27" customHeight="1" x14ac:dyDescent="0.35">
      <c r="C46" s="30" t="s">
        <v>20</v>
      </c>
      <c r="D46" s="30" t="s">
        <v>298</v>
      </c>
      <c r="E46" s="26"/>
      <c r="F46" s="26"/>
      <c r="G46" s="26"/>
      <c r="H46" s="26"/>
      <c r="I46" s="26"/>
      <c r="J46" s="26"/>
      <c r="K46" s="27"/>
      <c r="L46" s="28"/>
    </row>
    <row r="47" spans="3:12" ht="27" customHeight="1" x14ac:dyDescent="0.3">
      <c r="C47" s="30" t="s">
        <v>297</v>
      </c>
      <c r="D47" s="30"/>
      <c r="E47" s="26"/>
      <c r="F47" s="26"/>
      <c r="L47" s="28"/>
    </row>
    <row r="48" spans="3:12" ht="27" customHeight="1" x14ac:dyDescent="0.3">
      <c r="D48" s="30"/>
      <c r="E48" s="26"/>
      <c r="F48" s="26"/>
      <c r="G48" s="26"/>
    </row>
    <row r="49" spans="3:13" ht="27" customHeight="1" x14ac:dyDescent="0.35">
      <c r="C49" s="30"/>
      <c r="D49" s="30"/>
      <c r="E49" s="26"/>
      <c r="F49" s="26"/>
      <c r="G49" s="26"/>
      <c r="H49" s="26"/>
      <c r="I49" s="26"/>
      <c r="J49" s="26"/>
      <c r="K49" s="27"/>
      <c r="L49" s="28"/>
    </row>
    <row r="50" spans="3:13" ht="27" customHeight="1" x14ac:dyDescent="0.35">
      <c r="C50" s="30"/>
      <c r="D50" s="30"/>
      <c r="E50" s="26"/>
      <c r="F50" s="26"/>
      <c r="G50" s="26"/>
      <c r="H50" s="26"/>
      <c r="I50" s="26"/>
      <c r="J50" s="26"/>
      <c r="K50" s="27"/>
      <c r="L50" s="28"/>
    </row>
    <row r="51" spans="3:13" ht="27" customHeight="1" x14ac:dyDescent="0.35">
      <c r="C51" s="30"/>
      <c r="D51" s="30"/>
      <c r="E51" s="26"/>
      <c r="F51" s="26"/>
      <c r="G51" s="26"/>
      <c r="H51" s="26"/>
      <c r="I51" s="26"/>
      <c r="J51" s="26"/>
      <c r="K51" s="27"/>
      <c r="L51" s="28"/>
    </row>
    <row r="52" spans="3:13" ht="27" customHeight="1" x14ac:dyDescent="0.35">
      <c r="C52" s="30"/>
      <c r="D52" s="30"/>
      <c r="E52" s="26"/>
      <c r="F52" s="26"/>
      <c r="G52" s="26"/>
      <c r="H52" s="26"/>
      <c r="I52" s="26"/>
      <c r="J52" s="26"/>
      <c r="K52" s="27"/>
      <c r="L52" s="28"/>
    </row>
    <row r="53" spans="3:13" ht="27" customHeight="1" thickBot="1" x14ac:dyDescent="0.4">
      <c r="C53" s="26"/>
      <c r="D53" s="26"/>
      <c r="E53" s="26"/>
      <c r="F53" s="26"/>
      <c r="G53" s="26"/>
      <c r="H53" s="26"/>
      <c r="I53" s="26"/>
      <c r="J53" s="26"/>
      <c r="K53" s="27"/>
      <c r="L53" s="29"/>
    </row>
    <row r="54" spans="3:13" ht="27" customHeight="1" thickBot="1" x14ac:dyDescent="0.4">
      <c r="C54" s="26"/>
      <c r="D54" s="26"/>
      <c r="E54" s="26"/>
      <c r="F54" s="146" t="s">
        <v>125</v>
      </c>
      <c r="G54" s="147"/>
      <c r="H54" s="147"/>
      <c r="I54" s="147"/>
      <c r="J54" s="148"/>
      <c r="K54" s="27"/>
      <c r="L54" s="29"/>
    </row>
    <row r="55" spans="3:13" ht="27" customHeight="1" thickBot="1" x14ac:dyDescent="0.35">
      <c r="C55" s="141" t="s">
        <v>80</v>
      </c>
      <c r="D55" s="142"/>
      <c r="E55" s="26"/>
      <c r="F55" s="143" t="s">
        <v>122</v>
      </c>
      <c r="G55" s="144"/>
      <c r="H55" s="144"/>
      <c r="I55" s="144"/>
      <c r="J55" s="145"/>
      <c r="L55" s="30"/>
    </row>
    <row r="56" spans="3:13" ht="27" customHeight="1" x14ac:dyDescent="0.25">
      <c r="C56" s="53" t="s">
        <v>81</v>
      </c>
      <c r="D56" s="89">
        <v>0</v>
      </c>
      <c r="E56" s="26"/>
      <c r="F56" s="143" t="s">
        <v>124</v>
      </c>
      <c r="G56" s="144"/>
      <c r="H56" s="144"/>
      <c r="I56" s="144"/>
      <c r="J56" s="145"/>
    </row>
    <row r="57" spans="3:13" ht="27" customHeight="1" thickBot="1" x14ac:dyDescent="0.3">
      <c r="C57" s="54" t="s">
        <v>82</v>
      </c>
      <c r="D57" s="90">
        <f>L41</f>
        <v>27000.04</v>
      </c>
      <c r="E57" s="33"/>
      <c r="F57" s="153" t="s">
        <v>123</v>
      </c>
      <c r="G57" s="154"/>
      <c r="H57" s="154"/>
      <c r="I57" s="154"/>
      <c r="J57" s="155"/>
      <c r="K57" s="26"/>
      <c r="L57" s="26"/>
    </row>
    <row r="58" spans="3:13" ht="27" customHeight="1" thickBot="1" x14ac:dyDescent="0.3">
      <c r="C58" s="54" t="s">
        <v>83</v>
      </c>
      <c r="D58" s="90">
        <v>0</v>
      </c>
      <c r="E58" s="33"/>
      <c r="F58" s="33"/>
      <c r="G58" s="26"/>
      <c r="H58" s="26"/>
      <c r="I58" s="26"/>
      <c r="J58" s="26"/>
      <c r="K58" s="26"/>
      <c r="L58" s="26"/>
    </row>
    <row r="59" spans="3:13" ht="27" customHeight="1" thickBot="1" x14ac:dyDescent="0.3">
      <c r="C59" s="54" t="s">
        <v>84</v>
      </c>
      <c r="D59" s="90">
        <v>0</v>
      </c>
      <c r="E59" s="33"/>
      <c r="F59" s="161" t="s">
        <v>126</v>
      </c>
      <c r="G59" s="162"/>
      <c r="H59" s="162"/>
      <c r="I59" s="163"/>
    </row>
    <row r="60" spans="3:13" ht="27" customHeight="1" x14ac:dyDescent="0.25">
      <c r="C60" s="54" t="s">
        <v>75</v>
      </c>
      <c r="D60" s="90">
        <v>0</v>
      </c>
      <c r="E60" s="33"/>
      <c r="F60" s="156" t="s">
        <v>141</v>
      </c>
      <c r="G60" s="157"/>
      <c r="I60" s="44"/>
    </row>
    <row r="61" spans="3:13" ht="27" customHeight="1" x14ac:dyDescent="0.25">
      <c r="C61" s="54" t="s">
        <v>85</v>
      </c>
      <c r="D61" s="90">
        <v>0</v>
      </c>
      <c r="E61" s="26"/>
      <c r="F61" s="143" t="s">
        <v>127</v>
      </c>
      <c r="G61" s="144"/>
      <c r="H61" s="144" t="s">
        <v>144</v>
      </c>
      <c r="I61" s="145"/>
      <c r="K61" s="1" t="s">
        <v>142</v>
      </c>
      <c r="M61" s="34"/>
    </row>
    <row r="62" spans="3:13" ht="27" customHeight="1" thickBot="1" x14ac:dyDescent="0.3">
      <c r="C62" s="54" t="s">
        <v>138</v>
      </c>
      <c r="D62" s="90">
        <v>0</v>
      </c>
      <c r="E62" s="26"/>
      <c r="F62" s="143" t="s">
        <v>143</v>
      </c>
      <c r="G62" s="144"/>
      <c r="H62" s="144" t="s">
        <v>146</v>
      </c>
      <c r="I62" s="145"/>
      <c r="M62" s="34"/>
    </row>
    <row r="63" spans="3:13" ht="27" customHeight="1" thickBot="1" x14ac:dyDescent="0.3">
      <c r="C63" s="54" t="s">
        <v>86</v>
      </c>
      <c r="D63" s="90">
        <v>0</v>
      </c>
      <c r="E63" s="26"/>
      <c r="F63" s="180" t="s">
        <v>290</v>
      </c>
      <c r="G63" s="181"/>
      <c r="H63" s="181"/>
      <c r="I63" s="182"/>
      <c r="K63" s="1" t="s">
        <v>145</v>
      </c>
    </row>
    <row r="64" spans="3:13" ht="27" customHeight="1" thickBot="1" x14ac:dyDescent="0.4">
      <c r="C64" s="55" t="s">
        <v>87</v>
      </c>
      <c r="D64" s="91">
        <f>SUM(D56:D63)</f>
        <v>27000.04</v>
      </c>
      <c r="E64" s="26"/>
      <c r="F64" s="158" t="s">
        <v>128</v>
      </c>
      <c r="G64" s="159"/>
      <c r="H64" s="159"/>
      <c r="I64" s="160"/>
    </row>
    <row r="65" spans="3:12" ht="27" customHeight="1" thickBot="1" x14ac:dyDescent="0.3">
      <c r="C65" s="36"/>
      <c r="D65" s="26"/>
      <c r="E65" s="26"/>
      <c r="F65" s="161" t="s">
        <v>132</v>
      </c>
      <c r="G65" s="162"/>
      <c r="H65" s="162"/>
      <c r="I65" s="163"/>
    </row>
    <row r="66" spans="3:12" ht="27" customHeight="1" x14ac:dyDescent="0.3">
      <c r="C66" s="36"/>
      <c r="D66" s="26"/>
      <c r="E66" s="26"/>
      <c r="F66" s="37"/>
      <c r="G66" s="37"/>
      <c r="H66" s="37"/>
      <c r="I66" s="37"/>
      <c r="J66" s="37"/>
      <c r="K66" s="37"/>
      <c r="L66" s="29"/>
    </row>
    <row r="67" spans="3:12" ht="27" customHeight="1" x14ac:dyDescent="0.25">
      <c r="C67" s="167" t="s">
        <v>147</v>
      </c>
      <c r="D67" s="167"/>
      <c r="E67" s="167"/>
      <c r="F67" s="167"/>
      <c r="G67" s="167"/>
      <c r="H67" s="167"/>
      <c r="I67" s="167"/>
      <c r="J67" s="167"/>
      <c r="K67" s="167"/>
      <c r="L67" s="167"/>
    </row>
    <row r="68" spans="3:12" ht="27" customHeight="1" x14ac:dyDescent="0.3">
      <c r="C68" s="36"/>
      <c r="D68" s="26"/>
      <c r="E68" s="26"/>
      <c r="F68" s="37"/>
      <c r="G68" s="37"/>
      <c r="H68" s="37"/>
      <c r="I68" s="37"/>
      <c r="J68" s="37"/>
      <c r="K68" s="37"/>
      <c r="L68" s="29"/>
    </row>
    <row r="69" spans="3:12" ht="27" customHeight="1" x14ac:dyDescent="0.25">
      <c r="C69" s="164" t="s">
        <v>25</v>
      </c>
      <c r="D69" s="164"/>
      <c r="E69" s="164"/>
      <c r="F69" s="164"/>
      <c r="G69" s="164"/>
      <c r="H69" s="164"/>
      <c r="I69" s="164"/>
      <c r="J69" s="164"/>
      <c r="K69" s="164"/>
      <c r="L69" s="165"/>
    </row>
    <row r="70" spans="3:12" ht="27" customHeight="1" x14ac:dyDescent="0.35">
      <c r="C70" s="56" t="s">
        <v>26</v>
      </c>
      <c r="D70" s="57"/>
      <c r="E70" s="57"/>
      <c r="F70" s="58"/>
      <c r="G70" s="26"/>
      <c r="H70" s="26"/>
      <c r="I70" s="26"/>
      <c r="J70" s="26"/>
      <c r="K70" s="27"/>
      <c r="L70" s="29"/>
    </row>
    <row r="71" spans="3:12" ht="27" customHeight="1" x14ac:dyDescent="0.35">
      <c r="C71" s="56" t="s">
        <v>27</v>
      </c>
      <c r="D71" s="57"/>
      <c r="E71" s="57"/>
      <c r="F71" s="58"/>
      <c r="G71" s="26"/>
      <c r="H71" s="26"/>
      <c r="I71" s="26"/>
      <c r="J71" s="26"/>
      <c r="K71" s="27"/>
      <c r="L71" s="29"/>
    </row>
    <row r="72" spans="3:12" ht="27" customHeight="1" x14ac:dyDescent="0.35">
      <c r="C72" s="56" t="s">
        <v>28</v>
      </c>
      <c r="D72" s="57"/>
      <c r="E72" s="57"/>
      <c r="F72" s="58"/>
      <c r="G72" s="26"/>
      <c r="H72" s="26"/>
      <c r="I72" s="26"/>
      <c r="J72" s="26"/>
      <c r="K72" s="27"/>
      <c r="L72" s="29"/>
    </row>
    <row r="73" spans="3:12" ht="27" customHeight="1" x14ac:dyDescent="0.35">
      <c r="C73" s="56" t="s">
        <v>29</v>
      </c>
      <c r="D73" s="57"/>
      <c r="E73" s="57"/>
      <c r="F73" s="58"/>
      <c r="G73" s="26"/>
      <c r="H73" s="26"/>
      <c r="I73" s="26"/>
      <c r="J73" s="26"/>
      <c r="K73" s="27"/>
      <c r="L73" s="29"/>
    </row>
    <row r="74" spans="3:12" ht="27" customHeight="1" x14ac:dyDescent="0.35">
      <c r="C74" s="56" t="s">
        <v>30</v>
      </c>
      <c r="D74" s="57"/>
      <c r="E74" s="57"/>
      <c r="F74" s="58"/>
      <c r="G74" s="26"/>
      <c r="H74" s="26"/>
      <c r="I74" s="26"/>
      <c r="J74" s="26"/>
      <c r="K74" s="27"/>
      <c r="L74" s="29"/>
    </row>
    <row r="75" spans="3:12" ht="27" customHeight="1" x14ac:dyDescent="0.35">
      <c r="C75" s="56" t="s">
        <v>31</v>
      </c>
      <c r="D75" s="57"/>
      <c r="E75" s="57"/>
      <c r="F75" s="58"/>
      <c r="G75" s="26"/>
      <c r="H75" s="26"/>
      <c r="I75" s="26"/>
      <c r="J75" s="26"/>
      <c r="K75" s="27"/>
      <c r="L75" s="29"/>
    </row>
    <row r="76" spans="3:12" ht="27" customHeight="1" x14ac:dyDescent="0.35">
      <c r="C76" s="56" t="s">
        <v>32</v>
      </c>
      <c r="D76" s="57"/>
      <c r="E76" s="57"/>
      <c r="F76" s="58"/>
      <c r="G76" s="26"/>
      <c r="H76" s="26"/>
      <c r="I76" s="26"/>
      <c r="J76" s="26"/>
      <c r="K76" s="27"/>
      <c r="L76" s="29"/>
    </row>
    <row r="77" spans="3:12" ht="50.25" customHeight="1" x14ac:dyDescent="0.35">
      <c r="C77" s="166" t="s">
        <v>131</v>
      </c>
      <c r="D77" s="166"/>
      <c r="E77" s="166"/>
      <c r="F77" s="166"/>
      <c r="G77" s="26"/>
      <c r="H77" s="26"/>
      <c r="I77" s="26"/>
      <c r="J77" s="26"/>
      <c r="K77" s="27"/>
      <c r="L77" s="29"/>
    </row>
    <row r="78" spans="3:12" ht="27" customHeight="1" x14ac:dyDescent="0.35">
      <c r="C78" s="56" t="s">
        <v>129</v>
      </c>
      <c r="D78" s="57"/>
      <c r="E78" s="57"/>
      <c r="F78" s="58"/>
      <c r="G78" s="26"/>
      <c r="H78" s="26"/>
      <c r="I78" s="26"/>
      <c r="J78" s="26"/>
      <c r="K78" s="27"/>
      <c r="L78" s="29"/>
    </row>
    <row r="79" spans="3:12" ht="27" customHeight="1" x14ac:dyDescent="0.35">
      <c r="C79" s="56" t="s">
        <v>291</v>
      </c>
      <c r="D79" s="57"/>
      <c r="E79" s="57"/>
      <c r="F79" s="58"/>
      <c r="G79" s="26"/>
      <c r="H79" s="26"/>
      <c r="I79" s="26"/>
      <c r="J79" s="26"/>
      <c r="K79" s="27"/>
      <c r="L79" s="29"/>
    </row>
    <row r="80" spans="3:12" ht="27" customHeight="1" x14ac:dyDescent="0.35">
      <c r="C80" s="38"/>
      <c r="D80" s="26"/>
      <c r="E80" s="26"/>
      <c r="F80" s="39"/>
      <c r="G80" s="26"/>
      <c r="H80" s="26"/>
      <c r="I80" s="26"/>
      <c r="J80" s="26"/>
      <c r="K80" s="27"/>
      <c r="L80" s="29"/>
    </row>
    <row r="81" spans="3:12" ht="27" customHeight="1" x14ac:dyDescent="0.35">
      <c r="C81" s="38"/>
      <c r="D81" s="26"/>
      <c r="E81" s="26"/>
      <c r="F81" s="39"/>
      <c r="G81" s="26"/>
      <c r="H81" s="26"/>
      <c r="I81" s="26"/>
      <c r="J81" s="26"/>
      <c r="K81" s="27"/>
      <c r="L81" s="29"/>
    </row>
    <row r="82" spans="3:12" ht="27" customHeight="1" x14ac:dyDescent="0.35">
      <c r="C82" s="38"/>
      <c r="D82" s="26"/>
      <c r="E82" s="26"/>
      <c r="F82" s="39"/>
      <c r="G82" s="26"/>
      <c r="H82" s="26"/>
      <c r="I82" s="26"/>
      <c r="J82" s="26"/>
      <c r="K82" s="27"/>
      <c r="L82" s="29"/>
    </row>
    <row r="83" spans="3:12" ht="27" customHeight="1" x14ac:dyDescent="0.35">
      <c r="C83" s="38"/>
      <c r="D83" s="26"/>
      <c r="E83" s="26"/>
      <c r="F83" s="39"/>
      <c r="G83" s="26"/>
      <c r="H83" s="26"/>
      <c r="I83" s="26"/>
      <c r="J83" s="26"/>
      <c r="K83" s="27"/>
      <c r="L83" s="29"/>
    </row>
    <row r="84" spans="3:12" ht="27" customHeight="1" x14ac:dyDescent="0.35">
      <c r="D84" s="26"/>
      <c r="E84" s="26"/>
      <c r="F84" s="26"/>
      <c r="G84" s="26"/>
      <c r="H84" s="26"/>
      <c r="I84" s="26"/>
      <c r="J84" s="26"/>
      <c r="K84" s="27"/>
      <c r="L84" s="29"/>
    </row>
    <row r="85" spans="3:12" ht="27" customHeight="1" x14ac:dyDescent="0.25">
      <c r="C85" s="111" t="s">
        <v>89</v>
      </c>
      <c r="D85" s="111"/>
      <c r="E85" s="111"/>
      <c r="F85" s="111"/>
      <c r="G85" s="111"/>
      <c r="H85" s="111"/>
      <c r="I85" s="111"/>
      <c r="J85" s="111"/>
      <c r="K85" s="111"/>
      <c r="L85" s="112"/>
    </row>
    <row r="86" spans="3:12" ht="27" customHeight="1" thickBot="1" x14ac:dyDescent="0.35">
      <c r="C86" s="59"/>
      <c r="D86" s="59"/>
      <c r="E86" s="57"/>
      <c r="F86" s="57"/>
      <c r="G86" s="59"/>
      <c r="H86" s="59"/>
      <c r="I86" s="59"/>
      <c r="J86" s="59"/>
      <c r="K86" s="59"/>
      <c r="L86" s="60"/>
    </row>
    <row r="87" spans="3:12" ht="27" customHeight="1" x14ac:dyDescent="0.3">
      <c r="C87" s="149" t="s">
        <v>90</v>
      </c>
      <c r="D87" s="150"/>
      <c r="E87" s="61"/>
      <c r="F87" s="62"/>
      <c r="G87" s="151" t="s">
        <v>41</v>
      </c>
      <c r="H87" s="151"/>
      <c r="I87" s="151"/>
      <c r="J87" s="151"/>
      <c r="K87" s="151"/>
      <c r="L87" s="152"/>
    </row>
    <row r="88" spans="3:12" ht="27" customHeight="1" x14ac:dyDescent="0.25">
      <c r="C88" s="63" t="s">
        <v>33</v>
      </c>
      <c r="D88" s="64" t="s">
        <v>44</v>
      </c>
      <c r="E88" s="65"/>
      <c r="F88" s="66"/>
      <c r="G88" s="171" t="s">
        <v>42</v>
      </c>
      <c r="H88" s="171"/>
      <c r="I88" s="171"/>
      <c r="J88" s="171"/>
      <c r="K88" s="171"/>
      <c r="L88" s="172"/>
    </row>
    <row r="89" spans="3:12" ht="27" customHeight="1" x14ac:dyDescent="0.25">
      <c r="C89" s="63" t="s">
        <v>34</v>
      </c>
      <c r="D89" s="64" t="s">
        <v>46</v>
      </c>
      <c r="E89" s="65"/>
      <c r="F89" s="66"/>
      <c r="G89" s="171" t="s">
        <v>38</v>
      </c>
      <c r="H89" s="171"/>
      <c r="I89" s="171"/>
      <c r="J89" s="171"/>
      <c r="K89" s="171"/>
      <c r="L89" s="172"/>
    </row>
    <row r="90" spans="3:12" ht="27" customHeight="1" x14ac:dyDescent="0.25">
      <c r="C90" s="63" t="s">
        <v>35</v>
      </c>
      <c r="D90" s="64" t="s">
        <v>43</v>
      </c>
      <c r="E90" s="65"/>
      <c r="F90" s="66"/>
      <c r="G90" s="171" t="s">
        <v>39</v>
      </c>
      <c r="H90" s="171"/>
      <c r="I90" s="171"/>
      <c r="J90" s="171"/>
      <c r="K90" s="171"/>
      <c r="L90" s="172"/>
    </row>
    <row r="91" spans="3:12" ht="27" customHeight="1" thickBot="1" x14ac:dyDescent="0.3">
      <c r="C91" s="67" t="s">
        <v>36</v>
      </c>
      <c r="D91" s="68" t="s">
        <v>45</v>
      </c>
      <c r="E91" s="69"/>
      <c r="F91" s="70"/>
      <c r="G91" s="173" t="s">
        <v>40</v>
      </c>
      <c r="H91" s="173"/>
      <c r="I91" s="173"/>
      <c r="J91" s="173"/>
      <c r="K91" s="173"/>
      <c r="L91" s="174"/>
    </row>
    <row r="92" spans="3:12" ht="27" customHeight="1" x14ac:dyDescent="0.35">
      <c r="C92" s="57"/>
      <c r="D92" s="57"/>
      <c r="E92" s="57"/>
      <c r="F92" s="57"/>
      <c r="G92" s="57"/>
      <c r="H92" s="57"/>
      <c r="I92" s="57"/>
      <c r="J92" s="57"/>
      <c r="K92" s="71"/>
      <c r="L92" s="60"/>
    </row>
    <row r="93" spans="3:12" ht="27" customHeight="1" thickBot="1" x14ac:dyDescent="0.4">
      <c r="C93" s="57"/>
      <c r="D93" s="57"/>
      <c r="E93" s="57"/>
      <c r="F93" s="57"/>
      <c r="G93" s="57"/>
      <c r="H93" s="57"/>
      <c r="I93" s="57"/>
      <c r="J93" s="57"/>
      <c r="K93" s="71"/>
      <c r="L93" s="60"/>
    </row>
    <row r="94" spans="3:12" ht="27" customHeight="1" x14ac:dyDescent="0.3">
      <c r="C94" s="149" t="s">
        <v>51</v>
      </c>
      <c r="D94" s="150"/>
      <c r="E94" s="61"/>
      <c r="F94" s="62"/>
      <c r="G94" s="151" t="s">
        <v>51</v>
      </c>
      <c r="H94" s="151"/>
      <c r="I94" s="151"/>
      <c r="J94" s="151"/>
      <c r="K94" s="151"/>
      <c r="L94" s="152"/>
    </row>
    <row r="95" spans="3:12" ht="27" customHeight="1" x14ac:dyDescent="0.25">
      <c r="C95" s="63" t="s">
        <v>48</v>
      </c>
      <c r="D95" s="64" t="s">
        <v>49</v>
      </c>
      <c r="E95" s="65"/>
      <c r="F95" s="66"/>
      <c r="G95" s="171" t="s">
        <v>37</v>
      </c>
      <c r="H95" s="171"/>
      <c r="I95" s="171"/>
      <c r="J95" s="171"/>
      <c r="K95" s="171"/>
      <c r="L95" s="172"/>
    </row>
    <row r="96" spans="3:12" ht="27" customHeight="1" x14ac:dyDescent="0.25">
      <c r="C96" s="63" t="s">
        <v>34</v>
      </c>
      <c r="D96" s="64" t="s">
        <v>50</v>
      </c>
      <c r="E96" s="65"/>
      <c r="F96" s="66"/>
      <c r="G96" s="171" t="s">
        <v>38</v>
      </c>
      <c r="H96" s="171"/>
      <c r="I96" s="171"/>
      <c r="J96" s="171"/>
      <c r="K96" s="171"/>
      <c r="L96" s="172"/>
    </row>
    <row r="97" spans="3:12" ht="27" customHeight="1" x14ac:dyDescent="0.25">
      <c r="C97" s="63" t="s">
        <v>35</v>
      </c>
      <c r="D97" s="64" t="s">
        <v>47</v>
      </c>
      <c r="E97" s="65"/>
      <c r="F97" s="66"/>
      <c r="G97" s="171" t="s">
        <v>39</v>
      </c>
      <c r="H97" s="171"/>
      <c r="I97" s="171"/>
      <c r="J97" s="171"/>
      <c r="K97" s="171"/>
      <c r="L97" s="172"/>
    </row>
    <row r="98" spans="3:12" ht="27" customHeight="1" thickBot="1" x14ac:dyDescent="0.3">
      <c r="C98" s="67" t="s">
        <v>36</v>
      </c>
      <c r="D98" s="68"/>
      <c r="E98" s="69"/>
      <c r="F98" s="70"/>
      <c r="G98" s="173" t="s">
        <v>40</v>
      </c>
      <c r="H98" s="173"/>
      <c r="I98" s="173"/>
      <c r="J98" s="173"/>
      <c r="K98" s="173"/>
      <c r="L98" s="174"/>
    </row>
    <row r="99" spans="3:12" x14ac:dyDescent="0.25">
      <c r="C99" s="59"/>
      <c r="D99" s="59"/>
      <c r="E99" s="59"/>
      <c r="F99" s="59"/>
      <c r="G99" s="59"/>
      <c r="H99" s="59"/>
      <c r="I99" s="59"/>
      <c r="J99" s="59"/>
      <c r="K99" s="59"/>
      <c r="L99" s="59"/>
    </row>
    <row r="100" spans="3:12" ht="27" customHeight="1" x14ac:dyDescent="0.25">
      <c r="C100" s="111" t="s">
        <v>93</v>
      </c>
      <c r="D100" s="111"/>
      <c r="E100" s="111"/>
      <c r="F100" s="111"/>
      <c r="G100" s="111"/>
      <c r="H100" s="111"/>
      <c r="I100" s="111"/>
      <c r="J100" s="111"/>
      <c r="K100" s="111"/>
      <c r="L100" s="112"/>
    </row>
    <row r="101" spans="3:12" ht="27" customHeight="1" x14ac:dyDescent="0.25"/>
    <row r="102" spans="3:12" ht="27" customHeight="1" x14ac:dyDescent="0.25">
      <c r="C102" s="40" t="s">
        <v>94</v>
      </c>
      <c r="D102" s="40"/>
      <c r="E102" s="40"/>
      <c r="F102" s="40"/>
      <c r="G102" s="40"/>
      <c r="H102" s="40"/>
      <c r="I102" s="40"/>
      <c r="J102" s="40"/>
      <c r="K102" s="40"/>
      <c r="L102" s="40"/>
    </row>
    <row r="103" spans="3:12" ht="27" customHeight="1" x14ac:dyDescent="0.25">
      <c r="C103" s="41" t="s">
        <v>94</v>
      </c>
      <c r="D103" s="41"/>
      <c r="E103" s="41"/>
      <c r="F103" s="41"/>
      <c r="G103" s="41"/>
      <c r="H103" s="41"/>
      <c r="I103" s="41"/>
      <c r="J103" s="41"/>
      <c r="K103" s="41"/>
      <c r="L103" s="41"/>
    </row>
    <row r="104" spans="3:12" ht="27" customHeight="1" x14ac:dyDescent="0.25">
      <c r="C104" s="41" t="s">
        <v>94</v>
      </c>
      <c r="D104" s="41"/>
      <c r="E104" s="41"/>
      <c r="F104" s="41"/>
      <c r="G104" s="41"/>
      <c r="H104" s="41"/>
      <c r="I104" s="41"/>
      <c r="J104" s="41"/>
      <c r="K104" s="41"/>
      <c r="L104" s="41"/>
    </row>
    <row r="105" spans="3:12" ht="27" customHeight="1" x14ac:dyDescent="0.25">
      <c r="C105" s="41" t="s">
        <v>94</v>
      </c>
      <c r="D105" s="41"/>
      <c r="E105" s="41"/>
      <c r="F105" s="41"/>
      <c r="G105" s="41"/>
      <c r="H105" s="41"/>
      <c r="I105" s="41"/>
      <c r="J105" s="41"/>
      <c r="K105" s="41"/>
      <c r="L105" s="41"/>
    </row>
    <row r="106" spans="3:12" ht="27" customHeight="1" x14ac:dyDescent="0.25">
      <c r="C106" s="41" t="s">
        <v>94</v>
      </c>
      <c r="D106" s="41"/>
      <c r="E106" s="41"/>
      <c r="F106" s="41"/>
      <c r="G106" s="41"/>
      <c r="H106" s="41"/>
      <c r="I106" s="41"/>
      <c r="J106" s="41"/>
      <c r="K106" s="41"/>
      <c r="L106" s="41"/>
    </row>
    <row r="107" spans="3:12" ht="27" customHeight="1" x14ac:dyDescent="0.25">
      <c r="C107" s="41" t="s">
        <v>94</v>
      </c>
      <c r="D107" s="41"/>
      <c r="E107" s="41"/>
      <c r="F107" s="41"/>
      <c r="G107" s="41"/>
      <c r="H107" s="41"/>
      <c r="I107" s="41"/>
      <c r="J107" s="41"/>
      <c r="K107" s="41"/>
      <c r="L107" s="41"/>
    </row>
    <row r="108" spans="3:12" ht="27" customHeight="1" x14ac:dyDescent="0.25">
      <c r="C108" s="41" t="s">
        <v>94</v>
      </c>
      <c r="D108" s="41"/>
      <c r="E108" s="41"/>
      <c r="F108" s="41"/>
      <c r="G108" s="41"/>
      <c r="H108" s="41"/>
      <c r="I108" s="41"/>
      <c r="J108" s="41"/>
      <c r="K108" s="41"/>
      <c r="L108" s="41"/>
    </row>
    <row r="109" spans="3:12" ht="27" customHeight="1" x14ac:dyDescent="0.25">
      <c r="C109" s="41" t="s">
        <v>94</v>
      </c>
      <c r="D109" s="41"/>
      <c r="E109" s="41"/>
      <c r="F109" s="41"/>
      <c r="G109" s="41"/>
      <c r="H109" s="41"/>
      <c r="I109" s="41"/>
      <c r="J109" s="41"/>
      <c r="K109" s="41"/>
      <c r="L109" s="41"/>
    </row>
    <row r="110" spans="3:12" ht="27" customHeight="1" x14ac:dyDescent="0.25">
      <c r="C110" s="41" t="s">
        <v>94</v>
      </c>
      <c r="D110" s="41"/>
      <c r="E110" s="41"/>
      <c r="F110" s="41"/>
      <c r="G110" s="41"/>
      <c r="H110" s="41"/>
      <c r="I110" s="41"/>
      <c r="J110" s="41"/>
      <c r="K110" s="41"/>
      <c r="L110" s="41"/>
    </row>
    <row r="111" spans="3:12" ht="27" customHeight="1" x14ac:dyDescent="0.25">
      <c r="C111" s="41" t="s">
        <v>94</v>
      </c>
      <c r="D111" s="41"/>
      <c r="E111" s="41"/>
      <c r="F111" s="41"/>
      <c r="G111" s="41"/>
      <c r="H111" s="41"/>
      <c r="I111" s="41"/>
      <c r="J111" s="41"/>
      <c r="K111" s="41"/>
      <c r="L111" s="41"/>
    </row>
    <row r="112" spans="3:12" ht="27" customHeight="1" x14ac:dyDescent="0.25">
      <c r="C112" s="41" t="s">
        <v>94</v>
      </c>
      <c r="D112" s="41"/>
      <c r="E112" s="41"/>
      <c r="F112" s="41"/>
      <c r="G112" s="41"/>
      <c r="H112" s="41"/>
      <c r="I112" s="41"/>
      <c r="J112" s="41"/>
      <c r="K112" s="41"/>
      <c r="L112" s="41"/>
    </row>
    <row r="113" spans="3:12" ht="27" customHeight="1" x14ac:dyDescent="0.25">
      <c r="C113" s="41" t="s">
        <v>94</v>
      </c>
      <c r="D113" s="41"/>
      <c r="E113" s="41"/>
      <c r="F113" s="41"/>
      <c r="G113" s="41"/>
      <c r="H113" s="41"/>
      <c r="I113" s="41"/>
      <c r="J113" s="41"/>
      <c r="K113" s="41"/>
      <c r="L113" s="41"/>
    </row>
    <row r="114" spans="3:12" ht="27" customHeight="1" thickBot="1" x14ac:dyDescent="0.3"/>
    <row r="115" spans="3:12" ht="27" customHeight="1" thickBot="1" x14ac:dyDescent="0.3">
      <c r="C115" s="168" t="s">
        <v>91</v>
      </c>
      <c r="D115" s="169"/>
      <c r="G115" s="168" t="s">
        <v>299</v>
      </c>
      <c r="H115" s="170"/>
      <c r="I115" s="170"/>
      <c r="J115" s="170"/>
      <c r="K115" s="170"/>
      <c r="L115" s="169"/>
    </row>
    <row r="116" spans="3:12" ht="27" customHeight="1" x14ac:dyDescent="0.25"/>
    <row r="117" spans="3:12" ht="27" customHeight="1" x14ac:dyDescent="0.25"/>
    <row r="118" spans="3:12" ht="27" customHeight="1" x14ac:dyDescent="0.25"/>
    <row r="119" spans="3:12" ht="27" customHeight="1" x14ac:dyDescent="0.25"/>
    <row r="120" spans="3:12" ht="27" customHeight="1" x14ac:dyDescent="0.25"/>
    <row r="121" spans="3:12" ht="27" customHeight="1" x14ac:dyDescent="0.25"/>
    <row r="122" spans="3:12" ht="27" customHeight="1" x14ac:dyDescent="0.25"/>
    <row r="123" spans="3:12" ht="27" customHeight="1" x14ac:dyDescent="0.25"/>
    <row r="124" spans="3:12" ht="27" customHeight="1" x14ac:dyDescent="0.25"/>
    <row r="125" spans="3:12" ht="27" customHeight="1" x14ac:dyDescent="0.25"/>
    <row r="126" spans="3:12" ht="27" customHeight="1" x14ac:dyDescent="0.25"/>
    <row r="127" spans="3:12" ht="27" customHeight="1" x14ac:dyDescent="0.25"/>
    <row r="128" spans="3:12" ht="27" customHeight="1" x14ac:dyDescent="0.25"/>
    <row r="129" spans="3:11" ht="27" customHeight="1" x14ac:dyDescent="0.25"/>
    <row r="130" spans="3:11" ht="27" customHeight="1" x14ac:dyDescent="0.25"/>
    <row r="132" spans="3:11" x14ac:dyDescent="0.25">
      <c r="C132" s="26"/>
      <c r="D132" s="26"/>
      <c r="E132" s="26"/>
      <c r="F132" s="26"/>
      <c r="G132" s="26"/>
      <c r="H132" s="26"/>
      <c r="I132" s="26"/>
      <c r="J132" s="26"/>
      <c r="K132" s="15"/>
    </row>
  </sheetData>
  <sheetProtection selectLockedCells="1"/>
  <mergeCells count="56">
    <mergeCell ref="C115:D115"/>
    <mergeCell ref="G115:L115"/>
    <mergeCell ref="G88:L88"/>
    <mergeCell ref="G89:L89"/>
    <mergeCell ref="G90:L90"/>
    <mergeCell ref="G91:L91"/>
    <mergeCell ref="C94:D94"/>
    <mergeCell ref="G94:L94"/>
    <mergeCell ref="G95:L95"/>
    <mergeCell ref="G96:L96"/>
    <mergeCell ref="G97:L97"/>
    <mergeCell ref="G98:L98"/>
    <mergeCell ref="C100:L100"/>
    <mergeCell ref="C67:L67"/>
    <mergeCell ref="C69:L69"/>
    <mergeCell ref="C77:F77"/>
    <mergeCell ref="C85:L85"/>
    <mergeCell ref="C87:D87"/>
    <mergeCell ref="G87:L87"/>
    <mergeCell ref="C35:L35"/>
    <mergeCell ref="F63:I63"/>
    <mergeCell ref="H45:L45"/>
    <mergeCell ref="F54:J54"/>
    <mergeCell ref="F65:I65"/>
    <mergeCell ref="C55:D55"/>
    <mergeCell ref="F55:J55"/>
    <mergeCell ref="F56:J56"/>
    <mergeCell ref="F57:J57"/>
    <mergeCell ref="F59:I59"/>
    <mergeCell ref="F60:G60"/>
    <mergeCell ref="F61:G61"/>
    <mergeCell ref="H61:I61"/>
    <mergeCell ref="F62:G62"/>
    <mergeCell ref="H62:I62"/>
    <mergeCell ref="F64:I64"/>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 ref="J19:L19"/>
    <mergeCell ref="C21:L21"/>
    <mergeCell ref="D22:L22"/>
    <mergeCell ref="D23:L23"/>
    <mergeCell ref="D24:L24"/>
    <mergeCell ref="D25:L25"/>
  </mergeCells>
  <dataValidations count="1">
    <dataValidation type="whole" allowBlank="1" showInputMessage="1" showErrorMessage="1" sqref="I37:I39">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2225"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2226"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2227"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2228"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2229"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2230"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2231"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2232"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2233"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2234" r:id="rId13" name="Check Box 10">
              <controlPr defaultSize="0" autoFill="0" autoLine="0" autoPict="0">
                <anchor moveWithCells="1">
                  <from>
                    <xdr:col>6</xdr:col>
                    <xdr:colOff>685800</xdr:colOff>
                    <xdr:row>54</xdr:row>
                    <xdr:rowOff>28575</xdr:rowOff>
                  </from>
                  <to>
                    <xdr:col>8</xdr:col>
                    <xdr:colOff>190500</xdr:colOff>
                    <xdr:row>54</xdr:row>
                    <xdr:rowOff>285750</xdr:rowOff>
                  </to>
                </anchor>
              </controlPr>
            </control>
          </mc:Choice>
        </mc:AlternateContent>
        <mc:AlternateContent xmlns:mc="http://schemas.openxmlformats.org/markup-compatibility/2006">
          <mc:Choice Requires="x14">
            <control shapeId="52235" r:id="rId14" name="Check Box 11">
              <controlPr defaultSize="0" autoFill="0" autoLine="0" autoPict="0">
                <anchor moveWithCells="1">
                  <from>
                    <xdr:col>5</xdr:col>
                    <xdr:colOff>1276350</xdr:colOff>
                    <xdr:row>54</xdr:row>
                    <xdr:rowOff>323850</xdr:rowOff>
                  </from>
                  <to>
                    <xdr:col>8</xdr:col>
                    <xdr:colOff>695325</xdr:colOff>
                    <xdr:row>55</xdr:row>
                    <xdr:rowOff>323850</xdr:rowOff>
                  </to>
                </anchor>
              </controlPr>
            </control>
          </mc:Choice>
        </mc:AlternateContent>
        <mc:AlternateContent xmlns:mc="http://schemas.openxmlformats.org/markup-compatibility/2006">
          <mc:Choice Requires="x14">
            <control shapeId="52236" r:id="rId15" name="Check Box 12">
              <controlPr defaultSize="0" autoFill="0" autoLine="0" autoPict="0">
                <anchor moveWithCells="1">
                  <from>
                    <xdr:col>6</xdr:col>
                    <xdr:colOff>295275</xdr:colOff>
                    <xdr:row>55</xdr:row>
                    <xdr:rowOff>333375</xdr:rowOff>
                  </from>
                  <to>
                    <xdr:col>8</xdr:col>
                    <xdr:colOff>9525</xdr:colOff>
                    <xdr:row>57</xdr:row>
                    <xdr:rowOff>0</xdr:rowOff>
                  </to>
                </anchor>
              </controlPr>
            </control>
          </mc:Choice>
        </mc:AlternateContent>
        <mc:AlternateContent xmlns:mc="http://schemas.openxmlformats.org/markup-compatibility/2006">
          <mc:Choice Requires="x14">
            <control shapeId="52237" r:id="rId16" name="Check Box 13">
              <controlPr defaultSize="0" autoFill="0" autoLine="0" autoPict="0">
                <anchor moveWithCells="1">
                  <from>
                    <xdr:col>5</xdr:col>
                    <xdr:colOff>171450</xdr:colOff>
                    <xdr:row>60</xdr:row>
                    <xdr:rowOff>57150</xdr:rowOff>
                  </from>
                  <to>
                    <xdr:col>6</xdr:col>
                    <xdr:colOff>1019175</xdr:colOff>
                    <xdr:row>60</xdr:row>
                    <xdr:rowOff>314325</xdr:rowOff>
                  </to>
                </anchor>
              </controlPr>
            </control>
          </mc:Choice>
        </mc:AlternateContent>
        <mc:AlternateContent xmlns:mc="http://schemas.openxmlformats.org/markup-compatibility/2006">
          <mc:Choice Requires="x14">
            <control shapeId="52238" r:id="rId17" name="Check Box 14">
              <controlPr defaultSize="0" autoFill="0" autoLine="0" autoPict="0">
                <anchor moveWithCells="1">
                  <from>
                    <xdr:col>5</xdr:col>
                    <xdr:colOff>952500</xdr:colOff>
                    <xdr:row>59</xdr:row>
                    <xdr:rowOff>28575</xdr:rowOff>
                  </from>
                  <to>
                    <xdr:col>6</xdr:col>
                    <xdr:colOff>419100</xdr:colOff>
                    <xdr:row>59</xdr:row>
                    <xdr:rowOff>276225</xdr:rowOff>
                  </to>
                </anchor>
              </controlPr>
            </control>
          </mc:Choice>
        </mc:AlternateContent>
        <mc:AlternateContent xmlns:mc="http://schemas.openxmlformats.org/markup-compatibility/2006">
          <mc:Choice Requires="x14">
            <control shapeId="52239" r:id="rId18" name="Check Box 15">
              <controlPr defaultSize="0" autoFill="0" autoLine="0" autoPict="0">
                <anchor moveWithCells="1">
                  <from>
                    <xdr:col>5</xdr:col>
                    <xdr:colOff>180975</xdr:colOff>
                    <xdr:row>61</xdr:row>
                    <xdr:rowOff>38100</xdr:rowOff>
                  </from>
                  <to>
                    <xdr:col>6</xdr:col>
                    <xdr:colOff>990600</xdr:colOff>
                    <xdr:row>61</xdr:row>
                    <xdr:rowOff>295275</xdr:rowOff>
                  </to>
                </anchor>
              </controlPr>
            </control>
          </mc:Choice>
        </mc:AlternateContent>
        <mc:AlternateContent xmlns:mc="http://schemas.openxmlformats.org/markup-compatibility/2006">
          <mc:Choice Requires="x14">
            <control shapeId="52240" r:id="rId19" name="Check Box 16">
              <controlPr defaultSize="0" autoFill="0" autoLine="0" autoPict="0">
                <anchor moveWithCells="1">
                  <from>
                    <xdr:col>7</xdr:col>
                    <xdr:colOff>257175</xdr:colOff>
                    <xdr:row>60</xdr:row>
                    <xdr:rowOff>57150</xdr:rowOff>
                  </from>
                  <to>
                    <xdr:col>8</xdr:col>
                    <xdr:colOff>962025</xdr:colOff>
                    <xdr:row>60</xdr:row>
                    <xdr:rowOff>285750</xdr:rowOff>
                  </to>
                </anchor>
              </controlPr>
            </control>
          </mc:Choice>
        </mc:AlternateContent>
        <mc:AlternateContent xmlns:mc="http://schemas.openxmlformats.org/markup-compatibility/2006">
          <mc:Choice Requires="x14">
            <control shapeId="52241" r:id="rId20" name="Check Box 17">
              <controlPr defaultSize="0" autoFill="0" autoLine="0" autoPict="0">
                <anchor moveWithCells="1">
                  <from>
                    <xdr:col>7</xdr:col>
                    <xdr:colOff>866775</xdr:colOff>
                    <xdr:row>61</xdr:row>
                    <xdr:rowOff>38100</xdr:rowOff>
                  </from>
                  <to>
                    <xdr:col>8</xdr:col>
                    <xdr:colOff>476250</xdr:colOff>
                    <xdr:row>61</xdr:row>
                    <xdr:rowOff>295275</xdr:rowOff>
                  </to>
                </anchor>
              </controlPr>
            </control>
          </mc:Choice>
        </mc:AlternateContent>
        <mc:AlternateContent xmlns:mc="http://schemas.openxmlformats.org/markup-compatibility/2006">
          <mc:Choice Requires="x14">
            <control shapeId="52242"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T136"/>
  <sheetViews>
    <sheetView topLeftCell="A40" zoomScale="70" zoomScaleNormal="70" workbookViewId="0">
      <selection activeCell="R56" sqref="R56"/>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8" width="9.140625" style="1"/>
    <col min="19" max="19" width="13.7109375" style="1" bestFit="1" customWidth="1"/>
    <col min="20" max="20" width="11" style="1" bestFit="1" customWidth="1"/>
    <col min="21"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331</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78">
        <v>46094</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319</v>
      </c>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t="s">
        <v>322</v>
      </c>
      <c r="E24" s="124"/>
      <c r="F24" s="124"/>
      <c r="G24" s="124"/>
      <c r="H24" s="124"/>
      <c r="I24" s="124"/>
      <c r="J24" s="124"/>
      <c r="K24" s="124"/>
      <c r="L24" s="125"/>
    </row>
    <row r="25" spans="2:12" ht="27" customHeight="1" thickBot="1" x14ac:dyDescent="0.3">
      <c r="B25" s="99"/>
      <c r="C25" s="47" t="s">
        <v>104</v>
      </c>
      <c r="D25" s="120" t="s">
        <v>320</v>
      </c>
      <c r="E25" s="121"/>
      <c r="F25" s="121"/>
      <c r="G25" s="121"/>
      <c r="H25" s="121"/>
      <c r="I25" s="121"/>
      <c r="J25" s="121"/>
      <c r="K25" s="121"/>
      <c r="L25" s="122"/>
    </row>
    <row r="26" spans="2:12" ht="27" customHeight="1" thickBot="1" x14ac:dyDescent="0.3">
      <c r="B26" s="99"/>
      <c r="C26" s="50" t="s">
        <v>105</v>
      </c>
      <c r="D26" s="183" t="s">
        <v>321</v>
      </c>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t="s">
        <v>323</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t="s">
        <v>301</v>
      </c>
      <c r="D36" s="18" t="s">
        <v>302</v>
      </c>
      <c r="E36" s="19" t="s">
        <v>305</v>
      </c>
      <c r="F36" s="17"/>
      <c r="G36" s="19">
        <v>162</v>
      </c>
      <c r="H36" s="20">
        <f>33201.79+3200</f>
        <v>36401.79</v>
      </c>
      <c r="I36" s="45">
        <v>50</v>
      </c>
      <c r="J36" s="52" t="s">
        <v>9</v>
      </c>
      <c r="K36" s="72">
        <f>ROUND(H36*(1-I36/100),2)</f>
        <v>18200.900000000001</v>
      </c>
      <c r="L36" s="73">
        <f t="shared" ref="L36:L43" si="0">K36*G36</f>
        <v>2948545.8000000003</v>
      </c>
    </row>
    <row r="37" spans="3:12" ht="27" customHeight="1" x14ac:dyDescent="0.3">
      <c r="C37" s="17" t="s">
        <v>240</v>
      </c>
      <c r="D37" s="18" t="s">
        <v>303</v>
      </c>
      <c r="E37" s="19" t="s">
        <v>304</v>
      </c>
      <c r="F37" s="17"/>
      <c r="G37" s="19">
        <v>43</v>
      </c>
      <c r="H37" s="20">
        <f>13982.62+2300</f>
        <v>16282.62</v>
      </c>
      <c r="I37" s="45">
        <v>50</v>
      </c>
      <c r="J37" s="52" t="s">
        <v>9</v>
      </c>
      <c r="K37" s="72">
        <f t="shared" ref="K37:K44" si="1">ROUND(H37*(1-I37/100),2)</f>
        <v>8141.31</v>
      </c>
      <c r="L37" s="73">
        <f t="shared" si="0"/>
        <v>350076.33</v>
      </c>
    </row>
    <row r="38" spans="3:12" ht="27" customHeight="1" x14ac:dyDescent="0.3">
      <c r="C38" s="17" t="s">
        <v>306</v>
      </c>
      <c r="D38" s="18" t="s">
        <v>307</v>
      </c>
      <c r="E38" s="19" t="s">
        <v>308</v>
      </c>
      <c r="F38" s="17"/>
      <c r="G38" s="19">
        <v>7</v>
      </c>
      <c r="H38" s="20">
        <f>35120.11+6300</f>
        <v>41420.11</v>
      </c>
      <c r="I38" s="45">
        <v>50</v>
      </c>
      <c r="J38" s="52" t="s">
        <v>9</v>
      </c>
      <c r="K38" s="72">
        <f t="shared" si="1"/>
        <v>20710.060000000001</v>
      </c>
      <c r="L38" s="73">
        <f t="shared" si="0"/>
        <v>144970.42000000001</v>
      </c>
    </row>
    <row r="39" spans="3:12" ht="27" customHeight="1" x14ac:dyDescent="0.3">
      <c r="C39" s="17" t="s">
        <v>309</v>
      </c>
      <c r="D39" s="18" t="s">
        <v>310</v>
      </c>
      <c r="E39" s="19" t="s">
        <v>304</v>
      </c>
      <c r="F39" s="17"/>
      <c r="G39" s="19">
        <v>22</v>
      </c>
      <c r="H39" s="20">
        <f>18738.49+3400</f>
        <v>22138.49</v>
      </c>
      <c r="I39" s="45">
        <v>50</v>
      </c>
      <c r="J39" s="52" t="s">
        <v>9</v>
      </c>
      <c r="K39" s="72">
        <f t="shared" si="1"/>
        <v>11069.25</v>
      </c>
      <c r="L39" s="73">
        <f t="shared" si="0"/>
        <v>243523.5</v>
      </c>
    </row>
    <row r="40" spans="3:12" ht="27" customHeight="1" x14ac:dyDescent="0.3">
      <c r="C40" s="17" t="s">
        <v>242</v>
      </c>
      <c r="D40" s="18" t="s">
        <v>311</v>
      </c>
      <c r="E40" s="19" t="s">
        <v>304</v>
      </c>
      <c r="F40" s="17"/>
      <c r="G40" s="19">
        <v>22</v>
      </c>
      <c r="H40" s="20">
        <f>14856+2300</f>
        <v>17156</v>
      </c>
      <c r="I40" s="45">
        <v>50</v>
      </c>
      <c r="J40" s="52" t="s">
        <v>9</v>
      </c>
      <c r="K40" s="72">
        <f t="shared" si="1"/>
        <v>8578</v>
      </c>
      <c r="L40" s="73">
        <f t="shared" si="0"/>
        <v>188716</v>
      </c>
    </row>
    <row r="41" spans="3:12" ht="27" customHeight="1" x14ac:dyDescent="0.3">
      <c r="C41" s="17" t="s">
        <v>312</v>
      </c>
      <c r="D41" s="18" t="s">
        <v>313</v>
      </c>
      <c r="E41" s="19" t="s">
        <v>304</v>
      </c>
      <c r="F41" s="17"/>
      <c r="G41" s="19">
        <v>23</v>
      </c>
      <c r="H41" s="20">
        <f>14975+2300</f>
        <v>17275</v>
      </c>
      <c r="I41" s="45">
        <v>50</v>
      </c>
      <c r="J41" s="52" t="s">
        <v>9</v>
      </c>
      <c r="K41" s="72">
        <f t="shared" si="1"/>
        <v>8637.5</v>
      </c>
      <c r="L41" s="73">
        <f t="shared" si="0"/>
        <v>198662.5</v>
      </c>
    </row>
    <row r="42" spans="3:12" ht="27" customHeight="1" x14ac:dyDescent="0.3">
      <c r="C42" s="17" t="s">
        <v>312</v>
      </c>
      <c r="D42" s="18" t="s">
        <v>313</v>
      </c>
      <c r="E42" s="19" t="s">
        <v>314</v>
      </c>
      <c r="F42" s="17"/>
      <c r="G42" s="19">
        <v>2</v>
      </c>
      <c r="H42" s="20">
        <f>14975+2300</f>
        <v>17275</v>
      </c>
      <c r="I42" s="45">
        <v>50</v>
      </c>
      <c r="J42" s="52" t="s">
        <v>9</v>
      </c>
      <c r="K42" s="72">
        <f t="shared" si="1"/>
        <v>8637.5</v>
      </c>
      <c r="L42" s="73">
        <f t="shared" si="0"/>
        <v>17275</v>
      </c>
    </row>
    <row r="43" spans="3:12" ht="27" customHeight="1" x14ac:dyDescent="0.3">
      <c r="C43" s="17" t="s">
        <v>312</v>
      </c>
      <c r="D43" s="18" t="s">
        <v>313</v>
      </c>
      <c r="E43" s="19" t="s">
        <v>315</v>
      </c>
      <c r="F43" s="17"/>
      <c r="G43" s="19">
        <v>10</v>
      </c>
      <c r="H43" s="20">
        <f>14975+2300</f>
        <v>17275</v>
      </c>
      <c r="I43" s="45">
        <v>50</v>
      </c>
      <c r="J43" s="52" t="s">
        <v>9</v>
      </c>
      <c r="K43" s="72">
        <f t="shared" si="1"/>
        <v>8637.5</v>
      </c>
      <c r="L43" s="73">
        <f t="shared" si="0"/>
        <v>86375</v>
      </c>
    </row>
    <row r="44" spans="3:12" ht="27" customHeight="1" x14ac:dyDescent="0.3">
      <c r="C44" s="17" t="s">
        <v>316</v>
      </c>
      <c r="D44" s="18" t="s">
        <v>317</v>
      </c>
      <c r="E44" s="19" t="s">
        <v>318</v>
      </c>
      <c r="F44" s="24"/>
      <c r="G44" s="19">
        <v>291</v>
      </c>
      <c r="H44" s="20">
        <f>3351.28+950</f>
        <v>4301.2800000000007</v>
      </c>
      <c r="I44" s="45">
        <v>50</v>
      </c>
      <c r="J44" s="52" t="s">
        <v>9</v>
      </c>
      <c r="K44" s="72">
        <f t="shared" si="1"/>
        <v>2150.64</v>
      </c>
      <c r="L44" s="73">
        <f>K44*G44</f>
        <v>625836.24</v>
      </c>
    </row>
    <row r="45" spans="3:12" ht="27" customHeight="1" x14ac:dyDescent="0.35">
      <c r="D45" s="15"/>
      <c r="E45" s="15"/>
      <c r="F45" s="15"/>
      <c r="G45" s="16">
        <f>G36+G37+G38+G39+G40+G41+G42+G43+G44</f>
        <v>582</v>
      </c>
      <c r="H45" s="6"/>
      <c r="I45" s="6"/>
      <c r="J45" s="15"/>
      <c r="K45" s="42" t="s">
        <v>10</v>
      </c>
      <c r="L45" s="74">
        <f>SUM(L36:L44)</f>
        <v>4803980.79</v>
      </c>
    </row>
    <row r="46" spans="3:12" ht="27" customHeight="1" x14ac:dyDescent="0.35">
      <c r="C46" s="94" t="s">
        <v>149</v>
      </c>
      <c r="D46" s="95"/>
      <c r="E46" s="15"/>
      <c r="F46" s="15"/>
      <c r="G46" s="15"/>
      <c r="H46" s="15"/>
      <c r="I46" s="15"/>
      <c r="J46" s="15"/>
      <c r="K46" s="42" t="s">
        <v>11</v>
      </c>
      <c r="L46" s="75">
        <f>L45*20/100</f>
        <v>960796.15799999994</v>
      </c>
    </row>
    <row r="47" spans="3:12" ht="27" customHeight="1" x14ac:dyDescent="0.35">
      <c r="C47" s="36" t="s">
        <v>326</v>
      </c>
      <c r="D47" s="36" t="s">
        <v>327</v>
      </c>
      <c r="E47" s="26"/>
      <c r="F47" s="26"/>
      <c r="G47" s="26"/>
      <c r="H47" s="26"/>
      <c r="I47" s="26"/>
      <c r="J47" s="26"/>
      <c r="K47" s="42" t="s">
        <v>13</v>
      </c>
      <c r="L47" s="74">
        <f>L46+L45</f>
        <v>5764776.9479999999</v>
      </c>
    </row>
    <row r="48" spans="3:12" ht="27" customHeight="1" x14ac:dyDescent="0.35">
      <c r="C48" s="36" t="s">
        <v>14</v>
      </c>
      <c r="D48" s="36" t="s">
        <v>328</v>
      </c>
      <c r="F48" s="26"/>
      <c r="G48" s="26"/>
      <c r="H48" s="26"/>
      <c r="I48" s="26"/>
      <c r="J48" s="26"/>
      <c r="K48" s="27"/>
      <c r="L48" s="28"/>
    </row>
    <row r="49" spans="3:20" ht="27" customHeight="1" x14ac:dyDescent="0.35">
      <c r="C49" s="36" t="s">
        <v>15</v>
      </c>
      <c r="D49" s="26" t="s">
        <v>329</v>
      </c>
      <c r="F49" s="26"/>
      <c r="G49" s="26"/>
      <c r="H49" s="26"/>
      <c r="I49" s="26"/>
      <c r="J49" s="26"/>
      <c r="K49" s="27"/>
      <c r="L49" s="28"/>
    </row>
    <row r="50" spans="3:20" ht="27" customHeight="1" x14ac:dyDescent="0.35">
      <c r="C50" s="36" t="s">
        <v>148</v>
      </c>
      <c r="D50" s="36" t="s">
        <v>246</v>
      </c>
      <c r="E50" s="26"/>
      <c r="F50" s="26"/>
      <c r="G50" s="26"/>
      <c r="H50" s="26"/>
      <c r="I50" s="26"/>
      <c r="J50" s="26"/>
      <c r="K50" s="27"/>
      <c r="L50" s="28"/>
    </row>
    <row r="51" spans="3:20" ht="27" customHeight="1" x14ac:dyDescent="0.35">
      <c r="C51" s="36" t="s">
        <v>325</v>
      </c>
      <c r="D51" s="36"/>
      <c r="E51" s="26"/>
      <c r="F51" s="26"/>
      <c r="G51" s="26"/>
      <c r="H51" s="26"/>
      <c r="I51" s="26"/>
      <c r="J51" s="26"/>
      <c r="K51" s="27"/>
      <c r="L51" s="28"/>
    </row>
    <row r="52" spans="3:20" ht="27" customHeight="1" x14ac:dyDescent="0.35">
      <c r="C52" s="26"/>
      <c r="D52" s="26"/>
      <c r="E52" s="26"/>
      <c r="F52" s="26"/>
      <c r="G52" s="26"/>
      <c r="H52" s="26"/>
      <c r="I52" s="26"/>
      <c r="J52" s="26"/>
      <c r="K52" s="27"/>
      <c r="L52" s="28"/>
    </row>
    <row r="53" spans="3:20" ht="27" customHeight="1" x14ac:dyDescent="0.25">
      <c r="C53" s="111" t="s">
        <v>78</v>
      </c>
      <c r="D53" s="111"/>
      <c r="E53" s="111"/>
      <c r="F53" s="111"/>
      <c r="G53" s="111"/>
      <c r="H53" s="111"/>
      <c r="I53" s="111"/>
      <c r="J53" s="111"/>
      <c r="K53" s="111"/>
      <c r="L53" s="112"/>
    </row>
    <row r="54" spans="3:20" ht="27" customHeight="1" x14ac:dyDescent="0.25">
      <c r="C54" s="51" t="s">
        <v>1</v>
      </c>
      <c r="D54" s="138" t="s">
        <v>2</v>
      </c>
      <c r="E54" s="139"/>
      <c r="F54" s="140"/>
      <c r="G54" s="51" t="s">
        <v>5</v>
      </c>
      <c r="H54" s="16"/>
      <c r="I54" s="16"/>
      <c r="J54" s="51" t="s">
        <v>6</v>
      </c>
      <c r="K54" s="51" t="s">
        <v>7</v>
      </c>
      <c r="L54" s="51" t="s">
        <v>8</v>
      </c>
    </row>
    <row r="55" spans="3:20" ht="27" customHeight="1" x14ac:dyDescent="0.3">
      <c r="C55" s="17" t="s">
        <v>301</v>
      </c>
      <c r="D55" s="135" t="s">
        <v>302</v>
      </c>
      <c r="E55" s="136"/>
      <c r="F55" s="137"/>
      <c r="G55" s="19">
        <v>162</v>
      </c>
      <c r="H55" s="19"/>
      <c r="I55" s="19"/>
      <c r="J55" s="52" t="s">
        <v>9</v>
      </c>
      <c r="K55" s="21">
        <v>1600</v>
      </c>
      <c r="L55" s="73">
        <f t="shared" ref="L55:L63" si="2">K55*G55</f>
        <v>259200</v>
      </c>
      <c r="S55" s="21">
        <v>1600</v>
      </c>
      <c r="T55" s="96">
        <f>S55*2</f>
        <v>3200</v>
      </c>
    </row>
    <row r="56" spans="3:20" ht="27" customHeight="1" x14ac:dyDescent="0.3">
      <c r="C56" s="17" t="s">
        <v>240</v>
      </c>
      <c r="D56" s="135" t="s">
        <v>303</v>
      </c>
      <c r="E56" s="136"/>
      <c r="F56" s="137"/>
      <c r="G56" s="19">
        <v>43</v>
      </c>
      <c r="H56" s="19"/>
      <c r="I56" s="19"/>
      <c r="J56" s="52" t="s">
        <v>9</v>
      </c>
      <c r="K56" s="21">
        <v>1150</v>
      </c>
      <c r="L56" s="73">
        <f t="shared" si="2"/>
        <v>49450</v>
      </c>
      <c r="S56" s="21">
        <v>1150</v>
      </c>
      <c r="T56" s="96">
        <f t="shared" ref="T56:T63" si="3">S56*2</f>
        <v>2300</v>
      </c>
    </row>
    <row r="57" spans="3:20" ht="27" customHeight="1" x14ac:dyDescent="0.3">
      <c r="C57" s="17" t="s">
        <v>306</v>
      </c>
      <c r="D57" s="135" t="s">
        <v>307</v>
      </c>
      <c r="E57" s="136"/>
      <c r="F57" s="137"/>
      <c r="G57" s="19">
        <v>7</v>
      </c>
      <c r="H57" s="19"/>
      <c r="I57" s="19"/>
      <c r="J57" s="52" t="s">
        <v>9</v>
      </c>
      <c r="K57" s="21">
        <v>3150</v>
      </c>
      <c r="L57" s="73">
        <f t="shared" si="2"/>
        <v>22050</v>
      </c>
      <c r="S57" s="21">
        <v>3150</v>
      </c>
      <c r="T57" s="96">
        <f t="shared" si="3"/>
        <v>6300</v>
      </c>
    </row>
    <row r="58" spans="3:20" ht="27" customHeight="1" x14ac:dyDescent="0.3">
      <c r="C58" s="17" t="s">
        <v>309</v>
      </c>
      <c r="D58" s="135" t="s">
        <v>310</v>
      </c>
      <c r="E58" s="136"/>
      <c r="F58" s="137"/>
      <c r="G58" s="19">
        <v>22</v>
      </c>
      <c r="H58" s="19"/>
      <c r="I58" s="19"/>
      <c r="J58" s="52" t="s">
        <v>9</v>
      </c>
      <c r="K58" s="21">
        <v>1700</v>
      </c>
      <c r="L58" s="73">
        <f t="shared" si="2"/>
        <v>37400</v>
      </c>
      <c r="S58" s="21">
        <v>1700</v>
      </c>
      <c r="T58" s="96">
        <f t="shared" si="3"/>
        <v>3400</v>
      </c>
    </row>
    <row r="59" spans="3:20" ht="27" customHeight="1" x14ac:dyDescent="0.3">
      <c r="C59" s="17" t="s">
        <v>242</v>
      </c>
      <c r="D59" s="135" t="s">
        <v>311</v>
      </c>
      <c r="E59" s="136"/>
      <c r="F59" s="137"/>
      <c r="G59" s="19">
        <v>22</v>
      </c>
      <c r="H59" s="19"/>
      <c r="I59" s="19"/>
      <c r="J59" s="52" t="s">
        <v>9</v>
      </c>
      <c r="K59" s="21">
        <v>1150</v>
      </c>
      <c r="L59" s="73">
        <f t="shared" si="2"/>
        <v>25300</v>
      </c>
      <c r="S59" s="21">
        <v>1150</v>
      </c>
      <c r="T59" s="96">
        <f t="shared" si="3"/>
        <v>2300</v>
      </c>
    </row>
    <row r="60" spans="3:20" ht="27" customHeight="1" x14ac:dyDescent="0.3">
      <c r="C60" s="17" t="s">
        <v>312</v>
      </c>
      <c r="D60" s="135" t="s">
        <v>313</v>
      </c>
      <c r="E60" s="136"/>
      <c r="F60" s="137"/>
      <c r="G60" s="19">
        <v>23</v>
      </c>
      <c r="H60" s="19"/>
      <c r="I60" s="19"/>
      <c r="J60" s="52" t="s">
        <v>9</v>
      </c>
      <c r="K60" s="21">
        <v>1150</v>
      </c>
      <c r="L60" s="73">
        <f t="shared" si="2"/>
        <v>26450</v>
      </c>
      <c r="S60" s="21">
        <v>1150</v>
      </c>
      <c r="T60" s="96">
        <f t="shared" si="3"/>
        <v>2300</v>
      </c>
    </row>
    <row r="61" spans="3:20" ht="27" customHeight="1" x14ac:dyDescent="0.3">
      <c r="C61" s="17" t="s">
        <v>312</v>
      </c>
      <c r="D61" s="135" t="s">
        <v>313</v>
      </c>
      <c r="E61" s="136"/>
      <c r="F61" s="137"/>
      <c r="G61" s="19">
        <v>2</v>
      </c>
      <c r="H61" s="19"/>
      <c r="I61" s="19"/>
      <c r="J61" s="52" t="s">
        <v>9</v>
      </c>
      <c r="K61" s="21">
        <v>1150</v>
      </c>
      <c r="L61" s="73">
        <f t="shared" si="2"/>
        <v>2300</v>
      </c>
      <c r="S61" s="21">
        <v>1150</v>
      </c>
      <c r="T61" s="96">
        <f t="shared" si="3"/>
        <v>2300</v>
      </c>
    </row>
    <row r="62" spans="3:20" ht="27" customHeight="1" x14ac:dyDescent="0.3">
      <c r="C62" s="17" t="s">
        <v>312</v>
      </c>
      <c r="D62" s="135" t="s">
        <v>313</v>
      </c>
      <c r="E62" s="136"/>
      <c r="F62" s="137"/>
      <c r="G62" s="19">
        <v>10</v>
      </c>
      <c r="H62" s="19"/>
      <c r="I62" s="19"/>
      <c r="J62" s="52" t="s">
        <v>9</v>
      </c>
      <c r="K62" s="21">
        <v>1150</v>
      </c>
      <c r="L62" s="73">
        <f t="shared" si="2"/>
        <v>11500</v>
      </c>
      <c r="S62" s="21">
        <v>1150</v>
      </c>
      <c r="T62" s="96">
        <f t="shared" si="3"/>
        <v>2300</v>
      </c>
    </row>
    <row r="63" spans="3:20" ht="27" customHeight="1" x14ac:dyDescent="0.3">
      <c r="C63" s="17" t="s">
        <v>316</v>
      </c>
      <c r="D63" s="135" t="s">
        <v>317</v>
      </c>
      <c r="E63" s="136"/>
      <c r="F63" s="137"/>
      <c r="G63" s="19">
        <v>291</v>
      </c>
      <c r="H63" s="19"/>
      <c r="I63" s="19"/>
      <c r="J63" s="52" t="s">
        <v>9</v>
      </c>
      <c r="K63" s="21">
        <v>475</v>
      </c>
      <c r="L63" s="73">
        <f t="shared" si="2"/>
        <v>138225</v>
      </c>
      <c r="S63" s="21">
        <v>475</v>
      </c>
      <c r="T63" s="96">
        <f t="shared" si="3"/>
        <v>950</v>
      </c>
    </row>
    <row r="64" spans="3:20" ht="27" customHeight="1" x14ac:dyDescent="0.35">
      <c r="D64" s="15"/>
      <c r="E64" s="15"/>
      <c r="F64" s="15"/>
      <c r="G64" s="16">
        <f>SUM(G55:G63)</f>
        <v>582</v>
      </c>
      <c r="H64" s="6"/>
      <c r="I64" s="6"/>
      <c r="J64" s="15"/>
      <c r="K64" s="42" t="s">
        <v>10</v>
      </c>
      <c r="L64" s="74">
        <f>SUM(L55:L63)</f>
        <v>571875</v>
      </c>
    </row>
    <row r="65" spans="3:13" ht="27" customHeight="1" x14ac:dyDescent="0.35">
      <c r="C65" s="25"/>
      <c r="D65" s="15"/>
      <c r="E65" s="15"/>
      <c r="F65" s="15"/>
      <c r="G65" s="15"/>
      <c r="H65" s="15"/>
      <c r="I65" s="15"/>
      <c r="J65" s="15"/>
      <c r="K65" s="42" t="s">
        <v>11</v>
      </c>
      <c r="L65" s="75">
        <v>0</v>
      </c>
    </row>
    <row r="66" spans="3:13" ht="27" customHeight="1" x14ac:dyDescent="0.35">
      <c r="C66" s="94" t="s">
        <v>158</v>
      </c>
      <c r="D66" s="95"/>
      <c r="E66" s="95"/>
      <c r="F66" s="26"/>
      <c r="G66" s="26"/>
      <c r="H66" s="26"/>
      <c r="I66" s="26"/>
      <c r="J66" s="26"/>
      <c r="K66" s="42" t="s">
        <v>13</v>
      </c>
      <c r="L66" s="74">
        <f>L65+L64</f>
        <v>571875</v>
      </c>
    </row>
    <row r="67" spans="3:13" ht="27" customHeight="1" x14ac:dyDescent="0.35">
      <c r="C67" s="36" t="s">
        <v>62</v>
      </c>
      <c r="D67" s="36"/>
      <c r="E67" s="36" t="s">
        <v>64</v>
      </c>
      <c r="F67" s="26"/>
      <c r="G67" s="26"/>
      <c r="H67" s="26"/>
      <c r="I67" s="26"/>
      <c r="J67" s="26"/>
      <c r="K67" s="27"/>
      <c r="L67" s="29"/>
    </row>
    <row r="68" spans="3:13" ht="27" customHeight="1" x14ac:dyDescent="0.35">
      <c r="C68" s="36" t="s">
        <v>63</v>
      </c>
      <c r="D68" s="36"/>
      <c r="E68" s="36" t="s">
        <v>79</v>
      </c>
      <c r="F68" s="26"/>
      <c r="G68" s="26"/>
      <c r="H68" s="26"/>
      <c r="I68" s="26"/>
      <c r="J68" s="26"/>
      <c r="K68" s="27"/>
      <c r="L68" s="29"/>
    </row>
    <row r="69" spans="3:13" ht="27" customHeight="1" thickBot="1" x14ac:dyDescent="0.4">
      <c r="C69" s="26"/>
      <c r="D69" s="26"/>
      <c r="E69" s="26"/>
      <c r="F69" s="26"/>
      <c r="G69" s="26"/>
      <c r="H69" s="26"/>
      <c r="I69" s="26"/>
      <c r="J69" s="26"/>
      <c r="K69" s="27"/>
      <c r="L69" s="29"/>
    </row>
    <row r="70" spans="3:13" ht="27" customHeight="1" thickBot="1" x14ac:dyDescent="0.4">
      <c r="C70" s="26"/>
      <c r="D70" s="26"/>
      <c r="E70" s="26"/>
      <c r="F70" s="146" t="s">
        <v>125</v>
      </c>
      <c r="G70" s="147"/>
      <c r="H70" s="147"/>
      <c r="I70" s="147"/>
      <c r="J70" s="148"/>
      <c r="K70" s="27"/>
      <c r="L70" s="29"/>
    </row>
    <row r="71" spans="3:13" ht="27" customHeight="1" thickBot="1" x14ac:dyDescent="0.35">
      <c r="C71" s="141" t="s">
        <v>80</v>
      </c>
      <c r="D71" s="142"/>
      <c r="E71" s="26"/>
      <c r="F71" s="143" t="s">
        <v>122</v>
      </c>
      <c r="G71" s="144"/>
      <c r="H71" s="144"/>
      <c r="I71" s="144"/>
      <c r="J71" s="145"/>
      <c r="L71" s="30"/>
    </row>
    <row r="72" spans="3:13" ht="27" customHeight="1" x14ac:dyDescent="0.25">
      <c r="C72" s="53" t="s">
        <v>81</v>
      </c>
      <c r="D72" s="31">
        <f>L47</f>
        <v>5764776.9479999999</v>
      </c>
      <c r="E72" s="26"/>
      <c r="F72" s="143" t="s">
        <v>124</v>
      </c>
      <c r="G72" s="144"/>
      <c r="H72" s="144"/>
      <c r="I72" s="144"/>
      <c r="J72" s="145"/>
    </row>
    <row r="73" spans="3:13" ht="27" customHeight="1" thickBot="1" x14ac:dyDescent="0.3">
      <c r="C73" s="54" t="s">
        <v>82</v>
      </c>
      <c r="D73" s="32">
        <v>0</v>
      </c>
      <c r="E73" s="33"/>
      <c r="F73" s="153" t="s">
        <v>123</v>
      </c>
      <c r="G73" s="154"/>
      <c r="H73" s="154"/>
      <c r="I73" s="154"/>
      <c r="J73" s="155"/>
      <c r="K73" s="26"/>
      <c r="L73" s="26"/>
    </row>
    <row r="74" spans="3:13" ht="27" customHeight="1" thickBot="1" x14ac:dyDescent="0.3">
      <c r="C74" s="54" t="s">
        <v>83</v>
      </c>
      <c r="D74" s="32">
        <v>0</v>
      </c>
      <c r="E74" s="33"/>
      <c r="F74" s="33"/>
      <c r="G74" s="26"/>
      <c r="H74" s="26"/>
      <c r="I74" s="26"/>
      <c r="J74" s="26"/>
      <c r="K74" s="26"/>
      <c r="L74" s="26"/>
    </row>
    <row r="75" spans="3:13" ht="27" customHeight="1" thickBot="1" x14ac:dyDescent="0.3">
      <c r="C75" s="54" t="s">
        <v>84</v>
      </c>
      <c r="D75" s="32">
        <v>0</v>
      </c>
      <c r="E75" s="33"/>
      <c r="F75" s="161" t="s">
        <v>126</v>
      </c>
      <c r="G75" s="162"/>
      <c r="H75" s="162"/>
      <c r="I75" s="163"/>
    </row>
    <row r="76" spans="3:13" ht="27" customHeight="1" x14ac:dyDescent="0.25">
      <c r="C76" s="54" t="s">
        <v>75</v>
      </c>
      <c r="D76" s="32">
        <v>0</v>
      </c>
      <c r="E76" s="33"/>
      <c r="F76" s="156" t="s">
        <v>141</v>
      </c>
      <c r="G76" s="157"/>
      <c r="H76" s="34"/>
      <c r="I76" s="44"/>
    </row>
    <row r="77" spans="3:13" ht="27" customHeight="1" x14ac:dyDescent="0.25">
      <c r="C77" s="54" t="s">
        <v>85</v>
      </c>
      <c r="D77" s="32">
        <v>0</v>
      </c>
      <c r="E77" s="26"/>
      <c r="F77" s="143" t="s">
        <v>127</v>
      </c>
      <c r="G77" s="144"/>
      <c r="H77" s="144" t="s">
        <v>144</v>
      </c>
      <c r="I77" s="145"/>
      <c r="K77" s="1" t="s">
        <v>142</v>
      </c>
      <c r="M77" s="34"/>
    </row>
    <row r="78" spans="3:13" ht="27" customHeight="1" x14ac:dyDescent="0.25">
      <c r="C78" s="54" t="s">
        <v>138</v>
      </c>
      <c r="D78" s="32">
        <v>0</v>
      </c>
      <c r="E78" s="26"/>
      <c r="F78" s="143" t="s">
        <v>143</v>
      </c>
      <c r="G78" s="144"/>
      <c r="H78" s="144" t="s">
        <v>146</v>
      </c>
      <c r="I78" s="145"/>
      <c r="M78" s="34"/>
    </row>
    <row r="79" spans="3:13" ht="27" customHeight="1" thickBot="1" x14ac:dyDescent="0.3">
      <c r="C79" s="54" t="s">
        <v>86</v>
      </c>
      <c r="D79" s="32">
        <v>0</v>
      </c>
      <c r="E79" s="26"/>
      <c r="F79" s="153"/>
      <c r="G79" s="154"/>
      <c r="H79" s="154"/>
      <c r="I79" s="155"/>
      <c r="K79" s="1" t="s">
        <v>145</v>
      </c>
    </row>
    <row r="80" spans="3:13" ht="27" customHeight="1" thickBot="1" x14ac:dyDescent="0.4">
      <c r="C80" s="55" t="s">
        <v>87</v>
      </c>
      <c r="D80" s="35">
        <f>SUM(D72:D79)</f>
        <v>5764776.9479999999</v>
      </c>
      <c r="E80" s="26"/>
      <c r="F80" s="158" t="s">
        <v>128</v>
      </c>
      <c r="G80" s="159"/>
      <c r="H80" s="159"/>
      <c r="I80" s="160"/>
    </row>
    <row r="81" spans="3:12" ht="27" customHeight="1" thickBot="1" x14ac:dyDescent="0.3">
      <c r="C81" s="36"/>
      <c r="D81" s="26"/>
      <c r="E81" s="26"/>
      <c r="F81" s="161" t="s">
        <v>132</v>
      </c>
      <c r="G81" s="162"/>
      <c r="H81" s="162"/>
      <c r="I81" s="163"/>
    </row>
    <row r="82" spans="3:12" ht="27" customHeight="1" x14ac:dyDescent="0.3">
      <c r="C82" s="36"/>
      <c r="D82" s="26"/>
      <c r="E82" s="26"/>
      <c r="F82" s="37"/>
      <c r="G82" s="37"/>
      <c r="H82" s="37"/>
      <c r="I82" s="37"/>
      <c r="J82" s="37"/>
      <c r="K82" s="37"/>
      <c r="L82" s="29"/>
    </row>
    <row r="83" spans="3:12" ht="27" customHeight="1" x14ac:dyDescent="0.25">
      <c r="C83" s="167" t="s">
        <v>147</v>
      </c>
      <c r="D83" s="167"/>
      <c r="E83" s="167"/>
      <c r="F83" s="167"/>
      <c r="G83" s="167"/>
      <c r="H83" s="167"/>
      <c r="I83" s="167"/>
      <c r="J83" s="167"/>
      <c r="K83" s="167"/>
      <c r="L83" s="167"/>
    </row>
    <row r="84" spans="3:12" ht="27" customHeight="1" x14ac:dyDescent="0.3">
      <c r="C84" s="36"/>
      <c r="D84" s="26"/>
      <c r="E84" s="26"/>
      <c r="F84" s="37"/>
      <c r="G84" s="37"/>
      <c r="H84" s="37"/>
      <c r="I84" s="37"/>
      <c r="J84" s="37"/>
      <c r="K84" s="37"/>
      <c r="L84" s="29"/>
    </row>
    <row r="85" spans="3:12" ht="27" customHeight="1" x14ac:dyDescent="0.25">
      <c r="C85" s="164" t="s">
        <v>324</v>
      </c>
      <c r="D85" s="164"/>
      <c r="E85" s="164"/>
      <c r="F85" s="164"/>
      <c r="G85" s="164"/>
      <c r="H85" s="164"/>
      <c r="I85" s="164"/>
      <c r="J85" s="164"/>
      <c r="K85" s="164"/>
      <c r="L85" s="165"/>
    </row>
    <row r="86" spans="3:12" ht="27" customHeight="1" x14ac:dyDescent="0.35">
      <c r="C86" s="56" t="s">
        <v>261</v>
      </c>
      <c r="D86" s="57"/>
      <c r="E86" s="57"/>
      <c r="F86" s="58"/>
      <c r="G86" s="26"/>
      <c r="H86" s="26"/>
      <c r="I86" s="26"/>
      <c r="J86" s="26"/>
      <c r="K86" s="27"/>
      <c r="L86" s="29"/>
    </row>
    <row r="87" spans="3:12" ht="27" customHeight="1" x14ac:dyDescent="0.35">
      <c r="C87" s="56"/>
      <c r="D87" s="57"/>
      <c r="E87" s="57"/>
      <c r="F87" s="58"/>
      <c r="G87" s="26"/>
      <c r="H87" s="26"/>
      <c r="I87" s="26"/>
      <c r="J87" s="26"/>
      <c r="K87" s="27"/>
      <c r="L87" s="29"/>
    </row>
    <row r="88" spans="3:12" ht="27" customHeight="1" x14ac:dyDescent="0.35">
      <c r="C88" s="56" t="s">
        <v>330</v>
      </c>
      <c r="D88" s="57"/>
      <c r="E88" s="57"/>
      <c r="F88" s="58"/>
      <c r="G88" s="26"/>
      <c r="H88" s="26"/>
      <c r="I88" s="26"/>
      <c r="J88" s="26"/>
      <c r="K88" s="27"/>
      <c r="L88" s="29"/>
    </row>
    <row r="89" spans="3:12" ht="27" customHeight="1" x14ac:dyDescent="0.35">
      <c r="C89" s="56"/>
      <c r="D89" s="57"/>
      <c r="E89" s="57"/>
      <c r="F89" s="58"/>
      <c r="G89" s="26"/>
      <c r="H89" s="26"/>
      <c r="I89" s="26"/>
      <c r="J89" s="26"/>
      <c r="K89" s="27"/>
      <c r="L89" s="29"/>
    </row>
    <row r="90" spans="3:12" ht="27" customHeight="1" x14ac:dyDescent="0.35">
      <c r="C90" s="56" t="s">
        <v>263</v>
      </c>
      <c r="D90" s="57"/>
      <c r="E90" s="57"/>
      <c r="F90" s="58"/>
      <c r="G90" s="26"/>
      <c r="H90" s="26"/>
      <c r="I90" s="26"/>
      <c r="J90" s="26"/>
      <c r="K90" s="27"/>
      <c r="L90" s="29"/>
    </row>
    <row r="91" spans="3:12" ht="27" customHeight="1" x14ac:dyDescent="0.35">
      <c r="C91" s="56"/>
      <c r="D91" s="57"/>
      <c r="E91" s="57"/>
      <c r="F91" s="58"/>
      <c r="G91" s="26"/>
      <c r="H91" s="26"/>
      <c r="I91" s="26"/>
      <c r="J91" s="26"/>
      <c r="K91" s="27"/>
      <c r="L91" s="29"/>
    </row>
    <row r="92" spans="3:12" ht="27" customHeight="1" x14ac:dyDescent="0.35">
      <c r="C92" s="56" t="s">
        <v>264</v>
      </c>
      <c r="D92" s="57"/>
      <c r="E92" s="57"/>
      <c r="F92" s="58"/>
      <c r="G92" s="26"/>
      <c r="H92" s="26"/>
      <c r="I92" s="26"/>
      <c r="J92" s="26"/>
      <c r="K92" s="27"/>
      <c r="L92" s="29"/>
    </row>
    <row r="93" spans="3:12" ht="27" customHeight="1" x14ac:dyDescent="0.35">
      <c r="C93" s="56"/>
      <c r="D93" s="57"/>
      <c r="E93" s="57"/>
      <c r="F93" s="58"/>
      <c r="G93" s="26"/>
      <c r="H93" s="26"/>
      <c r="I93" s="26"/>
      <c r="J93" s="26"/>
      <c r="K93" s="27"/>
      <c r="L93" s="29"/>
    </row>
    <row r="94" spans="3:12" ht="27" customHeight="1" x14ac:dyDescent="0.35">
      <c r="C94" s="56" t="s">
        <v>265</v>
      </c>
      <c r="D94" s="57"/>
      <c r="E94" s="57"/>
      <c r="F94" s="58"/>
      <c r="G94" s="26"/>
      <c r="H94" s="26"/>
      <c r="I94" s="26"/>
      <c r="J94" s="26"/>
      <c r="K94" s="27"/>
      <c r="L94" s="29"/>
    </row>
    <row r="95" spans="3:12" ht="27" customHeight="1" x14ac:dyDescent="0.35">
      <c r="C95" s="38"/>
      <c r="D95" s="26"/>
      <c r="E95" s="26"/>
      <c r="F95" s="39"/>
      <c r="G95" s="26"/>
      <c r="H95" s="26"/>
      <c r="I95" s="26"/>
      <c r="J95" s="26"/>
      <c r="K95" s="27"/>
      <c r="L95" s="29"/>
    </row>
    <row r="96" spans="3:12" ht="27" customHeight="1" x14ac:dyDescent="0.35">
      <c r="C96" s="38"/>
      <c r="D96" s="26"/>
      <c r="E96" s="26"/>
      <c r="F96" s="39"/>
      <c r="G96" s="26"/>
      <c r="H96" s="26"/>
      <c r="I96" s="26"/>
      <c r="J96" s="26"/>
      <c r="K96" s="27"/>
      <c r="L96" s="29"/>
    </row>
    <row r="97" spans="3:12" ht="27" customHeight="1" x14ac:dyDescent="0.35">
      <c r="C97" s="38"/>
      <c r="D97" s="26"/>
      <c r="E97" s="26"/>
      <c r="F97" s="39"/>
      <c r="G97" s="26"/>
      <c r="H97" s="26"/>
      <c r="I97" s="26"/>
      <c r="J97" s="26"/>
      <c r="K97" s="27"/>
      <c r="L97" s="29"/>
    </row>
    <row r="98" spans="3:12" ht="27" customHeight="1" x14ac:dyDescent="0.35">
      <c r="C98" s="38"/>
      <c r="D98" s="26"/>
      <c r="E98" s="26"/>
      <c r="F98" s="39"/>
      <c r="G98" s="26"/>
      <c r="H98" s="26"/>
      <c r="I98" s="26"/>
      <c r="J98" s="26"/>
      <c r="K98" s="27"/>
      <c r="L98" s="29"/>
    </row>
    <row r="99" spans="3:12" ht="27" customHeight="1" x14ac:dyDescent="0.35">
      <c r="D99" s="26"/>
      <c r="E99" s="26"/>
      <c r="F99" s="26"/>
      <c r="G99" s="26"/>
      <c r="H99" s="26"/>
      <c r="I99" s="26"/>
      <c r="J99" s="26"/>
      <c r="K99" s="27"/>
      <c r="L99" s="29"/>
    </row>
    <row r="100" spans="3:12" ht="27" customHeight="1" x14ac:dyDescent="0.25">
      <c r="C100" s="111" t="s">
        <v>89</v>
      </c>
      <c r="D100" s="111"/>
      <c r="E100" s="111"/>
      <c r="F100" s="111"/>
      <c r="G100" s="111"/>
      <c r="H100" s="111"/>
      <c r="I100" s="111"/>
      <c r="J100" s="111"/>
      <c r="K100" s="111"/>
      <c r="L100" s="112"/>
    </row>
    <row r="101" spans="3:12" ht="27" customHeight="1" thickBot="1" x14ac:dyDescent="0.35">
      <c r="C101" s="59"/>
      <c r="D101" s="59"/>
      <c r="E101" s="57"/>
      <c r="F101" s="57"/>
      <c r="G101" s="59"/>
      <c r="H101" s="59"/>
      <c r="I101" s="59"/>
      <c r="J101" s="59"/>
      <c r="K101" s="59"/>
      <c r="L101" s="60"/>
    </row>
    <row r="102" spans="3:12" ht="27" customHeight="1" x14ac:dyDescent="0.3">
      <c r="C102" s="149" t="s">
        <v>90</v>
      </c>
      <c r="D102" s="150"/>
      <c r="E102" s="61"/>
      <c r="F102" s="62"/>
      <c r="G102" s="151" t="s">
        <v>41</v>
      </c>
      <c r="H102" s="151"/>
      <c r="I102" s="151"/>
      <c r="J102" s="151"/>
      <c r="K102" s="151"/>
      <c r="L102" s="152"/>
    </row>
    <row r="103" spans="3:12" ht="27" customHeight="1" x14ac:dyDescent="0.25">
      <c r="C103" s="63" t="s">
        <v>33</v>
      </c>
      <c r="D103" s="64" t="s">
        <v>44</v>
      </c>
      <c r="E103" s="65"/>
      <c r="F103" s="66"/>
      <c r="G103" s="171" t="s">
        <v>42</v>
      </c>
      <c r="H103" s="171"/>
      <c r="I103" s="171"/>
      <c r="J103" s="171"/>
      <c r="K103" s="171"/>
      <c r="L103" s="172"/>
    </row>
    <row r="104" spans="3:12" ht="27" customHeight="1" x14ac:dyDescent="0.25">
      <c r="C104" s="63" t="s">
        <v>34</v>
      </c>
      <c r="D104" s="64" t="s">
        <v>46</v>
      </c>
      <c r="E104" s="65"/>
      <c r="F104" s="66"/>
      <c r="G104" s="171" t="s">
        <v>38</v>
      </c>
      <c r="H104" s="171"/>
      <c r="I104" s="171"/>
      <c r="J104" s="171"/>
      <c r="K104" s="171"/>
      <c r="L104" s="172"/>
    </row>
    <row r="105" spans="3:12" ht="27" customHeight="1" x14ac:dyDescent="0.25">
      <c r="C105" s="63" t="s">
        <v>35</v>
      </c>
      <c r="D105" s="64" t="s">
        <v>43</v>
      </c>
      <c r="E105" s="65"/>
      <c r="F105" s="66"/>
      <c r="G105" s="171" t="s">
        <v>39</v>
      </c>
      <c r="H105" s="171"/>
      <c r="I105" s="171"/>
      <c r="J105" s="171"/>
      <c r="K105" s="171"/>
      <c r="L105" s="172"/>
    </row>
    <row r="106" spans="3:12" ht="27" customHeight="1" thickBot="1" x14ac:dyDescent="0.3">
      <c r="C106" s="67" t="s">
        <v>36</v>
      </c>
      <c r="D106" s="68" t="s">
        <v>45</v>
      </c>
      <c r="E106" s="69"/>
      <c r="F106" s="70"/>
      <c r="G106" s="173" t="s">
        <v>40</v>
      </c>
      <c r="H106" s="173"/>
      <c r="I106" s="173"/>
      <c r="J106" s="173"/>
      <c r="K106" s="173"/>
      <c r="L106" s="174"/>
    </row>
    <row r="107" spans="3:12" ht="27" customHeight="1" x14ac:dyDescent="0.35">
      <c r="C107" s="57"/>
      <c r="D107" s="57"/>
      <c r="E107" s="57"/>
      <c r="F107" s="57"/>
      <c r="G107" s="57"/>
      <c r="H107" s="57"/>
      <c r="I107" s="57"/>
      <c r="J107" s="57"/>
      <c r="K107" s="71"/>
      <c r="L107" s="60"/>
    </row>
    <row r="108" spans="3:12" ht="27" customHeight="1" thickBot="1" x14ac:dyDescent="0.4">
      <c r="C108" s="57"/>
      <c r="D108" s="57"/>
      <c r="E108" s="57"/>
      <c r="F108" s="57"/>
      <c r="G108" s="57"/>
      <c r="H108" s="57"/>
      <c r="I108" s="57"/>
      <c r="J108" s="57"/>
      <c r="K108" s="71"/>
      <c r="L108" s="60"/>
    </row>
    <row r="109" spans="3:12" ht="27" customHeight="1" x14ac:dyDescent="0.3">
      <c r="C109" s="149" t="s">
        <v>51</v>
      </c>
      <c r="D109" s="150"/>
      <c r="E109" s="61"/>
      <c r="F109" s="62"/>
      <c r="G109" s="151" t="s">
        <v>51</v>
      </c>
      <c r="H109" s="151"/>
      <c r="I109" s="151"/>
      <c r="J109" s="151"/>
      <c r="K109" s="151"/>
      <c r="L109" s="152"/>
    </row>
    <row r="110" spans="3:12" ht="27" customHeight="1" x14ac:dyDescent="0.25">
      <c r="C110" s="63" t="s">
        <v>48</v>
      </c>
      <c r="D110" s="64" t="s">
        <v>49</v>
      </c>
      <c r="E110" s="65"/>
      <c r="F110" s="66"/>
      <c r="G110" s="171" t="s">
        <v>37</v>
      </c>
      <c r="H110" s="171"/>
      <c r="I110" s="171"/>
      <c r="J110" s="171"/>
      <c r="K110" s="171"/>
      <c r="L110" s="172"/>
    </row>
    <row r="111" spans="3:12" ht="27" customHeight="1" x14ac:dyDescent="0.25">
      <c r="C111" s="63" t="s">
        <v>34</v>
      </c>
      <c r="D111" s="64" t="s">
        <v>50</v>
      </c>
      <c r="E111" s="65"/>
      <c r="F111" s="66"/>
      <c r="G111" s="171" t="s">
        <v>38</v>
      </c>
      <c r="H111" s="171"/>
      <c r="I111" s="171"/>
      <c r="J111" s="171"/>
      <c r="K111" s="171"/>
      <c r="L111" s="172"/>
    </row>
    <row r="112" spans="3:12" ht="27" customHeight="1" x14ac:dyDescent="0.25">
      <c r="C112" s="63" t="s">
        <v>35</v>
      </c>
      <c r="D112" s="64" t="s">
        <v>47</v>
      </c>
      <c r="E112" s="65"/>
      <c r="F112" s="66"/>
      <c r="G112" s="171" t="s">
        <v>39</v>
      </c>
      <c r="H112" s="171"/>
      <c r="I112" s="171"/>
      <c r="J112" s="171"/>
      <c r="K112" s="171"/>
      <c r="L112" s="172"/>
    </row>
    <row r="113" spans="3:12" ht="27" customHeight="1" thickBot="1" x14ac:dyDescent="0.3">
      <c r="C113" s="67" t="s">
        <v>36</v>
      </c>
      <c r="D113" s="68"/>
      <c r="E113" s="69"/>
      <c r="F113" s="70"/>
      <c r="G113" s="173" t="s">
        <v>40</v>
      </c>
      <c r="H113" s="173"/>
      <c r="I113" s="173"/>
      <c r="J113" s="173"/>
      <c r="K113" s="173"/>
      <c r="L113" s="174"/>
    </row>
    <row r="114" spans="3:12" x14ac:dyDescent="0.25">
      <c r="C114" s="59"/>
      <c r="D114" s="59"/>
      <c r="E114" s="59"/>
      <c r="F114" s="59"/>
      <c r="G114" s="59"/>
      <c r="H114" s="59"/>
      <c r="I114" s="59"/>
      <c r="J114" s="59"/>
      <c r="K114" s="59"/>
      <c r="L114" s="59"/>
    </row>
    <row r="115" spans="3:12" ht="27" customHeight="1" x14ac:dyDescent="0.25">
      <c r="C115" s="111" t="s">
        <v>93</v>
      </c>
      <c r="D115" s="111"/>
      <c r="E115" s="111"/>
      <c r="F115" s="111"/>
      <c r="G115" s="111"/>
      <c r="H115" s="111"/>
      <c r="I115" s="111"/>
      <c r="J115" s="111"/>
      <c r="K115" s="111"/>
      <c r="L115" s="112"/>
    </row>
    <row r="116" spans="3:12" ht="27" customHeight="1" x14ac:dyDescent="0.25"/>
    <row r="117" spans="3:12" ht="27" customHeight="1" x14ac:dyDescent="0.25">
      <c r="C117" s="40" t="s">
        <v>94</v>
      </c>
      <c r="D117" s="40"/>
      <c r="E117" s="40"/>
      <c r="F117" s="40"/>
      <c r="G117" s="40"/>
      <c r="H117" s="40"/>
      <c r="I117" s="40"/>
      <c r="J117" s="40"/>
      <c r="K117" s="40"/>
      <c r="L117" s="40"/>
    </row>
    <row r="118" spans="3:12" ht="27" customHeight="1" x14ac:dyDescent="0.25">
      <c r="C118" s="41" t="s">
        <v>94</v>
      </c>
      <c r="D118" s="41"/>
      <c r="E118" s="41"/>
      <c r="F118" s="41"/>
      <c r="G118" s="41"/>
      <c r="H118" s="41"/>
      <c r="I118" s="41"/>
      <c r="J118" s="41"/>
      <c r="K118" s="41"/>
      <c r="L118" s="41"/>
    </row>
    <row r="119" spans="3:12" ht="27" customHeight="1" x14ac:dyDescent="0.25">
      <c r="C119" s="41" t="s">
        <v>94</v>
      </c>
      <c r="D119" s="41"/>
      <c r="E119" s="41"/>
      <c r="F119" s="41"/>
      <c r="G119" s="41"/>
      <c r="H119" s="41"/>
      <c r="I119" s="41"/>
      <c r="J119" s="41"/>
      <c r="K119" s="41"/>
      <c r="L119" s="41"/>
    </row>
    <row r="120" spans="3:12" ht="27" customHeight="1" x14ac:dyDescent="0.25">
      <c r="C120" s="41" t="s">
        <v>94</v>
      </c>
      <c r="D120" s="41"/>
      <c r="E120" s="41"/>
      <c r="F120" s="41"/>
      <c r="G120" s="41"/>
      <c r="H120" s="41"/>
      <c r="I120" s="41"/>
      <c r="J120" s="41"/>
      <c r="K120" s="41"/>
      <c r="L120" s="41"/>
    </row>
    <row r="121" spans="3:12" ht="27" customHeight="1" x14ac:dyDescent="0.25">
      <c r="C121" s="41" t="s">
        <v>94</v>
      </c>
      <c r="D121" s="41"/>
      <c r="E121" s="41"/>
      <c r="F121" s="41"/>
      <c r="G121" s="41"/>
      <c r="H121" s="41"/>
      <c r="I121" s="41"/>
      <c r="J121" s="41"/>
      <c r="K121" s="41"/>
      <c r="L121" s="41"/>
    </row>
    <row r="122" spans="3:12" ht="27" customHeight="1" x14ac:dyDescent="0.25">
      <c r="C122" s="41" t="s">
        <v>94</v>
      </c>
      <c r="D122" s="41"/>
      <c r="E122" s="41"/>
      <c r="F122" s="41"/>
      <c r="G122" s="41"/>
      <c r="H122" s="41"/>
      <c r="I122" s="41"/>
      <c r="J122" s="41"/>
      <c r="K122" s="41"/>
      <c r="L122" s="41"/>
    </row>
    <row r="123" spans="3:12" ht="27" customHeight="1" thickBot="1" x14ac:dyDescent="0.3"/>
    <row r="124" spans="3:12" ht="27" customHeight="1" thickBot="1" x14ac:dyDescent="0.3">
      <c r="C124" s="168" t="s">
        <v>332</v>
      </c>
      <c r="D124" s="169"/>
      <c r="G124" s="168" t="str">
        <f>D22</f>
        <v xml:space="preserve">SOYAŞ GRUP İNŞ.TİC. VE SAN. AŞ. &amp; MORKOÇ GRUP İNŞ SAN.TİC.LTD.ŞTİ İŞ ORTAKLIĞI </v>
      </c>
      <c r="H124" s="170"/>
      <c r="I124" s="170"/>
      <c r="J124" s="170"/>
      <c r="K124" s="170"/>
      <c r="L124" s="169"/>
    </row>
    <row r="125" spans="3:12" ht="27" customHeight="1" x14ac:dyDescent="0.25"/>
    <row r="126" spans="3:12" ht="27" customHeight="1" x14ac:dyDescent="0.25"/>
    <row r="127" spans="3:12" ht="27" customHeight="1" x14ac:dyDescent="0.25"/>
    <row r="128" spans="3:12" ht="27" customHeight="1" x14ac:dyDescent="0.25"/>
    <row r="129" ht="27" customHeight="1" x14ac:dyDescent="0.25"/>
    <row r="130" ht="27" customHeight="1" x14ac:dyDescent="0.25"/>
    <row r="131" ht="27" customHeight="1" x14ac:dyDescent="0.25"/>
    <row r="132" ht="27" customHeight="1" x14ac:dyDescent="0.25"/>
    <row r="133" ht="27" customHeight="1" x14ac:dyDescent="0.25"/>
    <row r="134" ht="27" customHeight="1" x14ac:dyDescent="0.25"/>
    <row r="135" ht="27" customHeight="1" x14ac:dyDescent="0.25"/>
    <row r="136" ht="27" customHeight="1" x14ac:dyDescent="0.25"/>
  </sheetData>
  <sheetProtection selectLockedCells="1"/>
  <mergeCells count="65">
    <mergeCell ref="C124:D124"/>
    <mergeCell ref="G124:L124"/>
    <mergeCell ref="G103:L103"/>
    <mergeCell ref="G104:L104"/>
    <mergeCell ref="G105:L105"/>
    <mergeCell ref="G106:L106"/>
    <mergeCell ref="C109:D109"/>
    <mergeCell ref="G109:L109"/>
    <mergeCell ref="G110:L110"/>
    <mergeCell ref="G111:L111"/>
    <mergeCell ref="G112:L112"/>
    <mergeCell ref="G113:L113"/>
    <mergeCell ref="C115:L115"/>
    <mergeCell ref="C83:L83"/>
    <mergeCell ref="C85:L85"/>
    <mergeCell ref="C100:L100"/>
    <mergeCell ref="C102:D102"/>
    <mergeCell ref="G102:L102"/>
    <mergeCell ref="F81:I81"/>
    <mergeCell ref="C71:D71"/>
    <mergeCell ref="F71:J71"/>
    <mergeCell ref="F72:J72"/>
    <mergeCell ref="F73:J73"/>
    <mergeCell ref="F75:I75"/>
    <mergeCell ref="F76:G76"/>
    <mergeCell ref="F77:G77"/>
    <mergeCell ref="H77:I77"/>
    <mergeCell ref="F78:G78"/>
    <mergeCell ref="H78:I78"/>
    <mergeCell ref="F80:I80"/>
    <mergeCell ref="F79:I79"/>
    <mergeCell ref="F70:J70"/>
    <mergeCell ref="D59:F59"/>
    <mergeCell ref="D60:F60"/>
    <mergeCell ref="D61:F61"/>
    <mergeCell ref="D62:F62"/>
    <mergeCell ref="D63:F63"/>
    <mergeCell ref="D58:F58"/>
    <mergeCell ref="C53:L53"/>
    <mergeCell ref="D54:F54"/>
    <mergeCell ref="D55:F55"/>
    <mergeCell ref="D56:F56"/>
    <mergeCell ref="D57:F57"/>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1">
    <dataValidation type="whole" showInputMessage="1" showErrorMessage="1" sqref="I36:I44">
      <formula1>0</formula1>
      <formula2>55</formula2>
    </dataValidation>
  </dataValidations>
  <hyperlinks>
    <hyperlink ref="D26" r:id="rId1"/>
  </hyperlinks>
  <pageMargins left="0.15748031496062992" right="0.15748031496062992" top="3.937007874015748E-2" bottom="3.937007874015748E-2" header="0.31496062992125984" footer="0.31496062992125984"/>
  <pageSetup paperSize="9" scale="49" fitToHeight="0" orientation="landscape" r:id="rId2"/>
  <colBreaks count="1" manualBreakCount="1">
    <brk id="3" max="1048575" man="1"/>
  </colBreaks>
  <drawing r:id="rId3"/>
  <legacyDrawing r:id="rId4"/>
  <mc:AlternateContent xmlns:mc="http://schemas.openxmlformats.org/markup-compatibility/2006">
    <mc:Choice Requires="x14">
      <controls>
        <mc:AlternateContent xmlns:mc="http://schemas.openxmlformats.org/markup-compatibility/2006">
          <mc:Choice Requires="x14">
            <control shapeId="56321" r:id="rId5"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6322" r:id="rId6"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6323" r:id="rId7"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6324" r:id="rId8"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6325" r:id="rId9"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6326" r:id="rId10"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6327" r:id="rId11"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6328" r:id="rId12"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6329" r:id="rId13"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6330" r:id="rId14" name="Check Box 10">
              <controlPr defaultSize="0" autoFill="0" autoLine="0" autoPict="0">
                <anchor moveWithCells="1">
                  <from>
                    <xdr:col>6</xdr:col>
                    <xdr:colOff>685800</xdr:colOff>
                    <xdr:row>70</xdr:row>
                    <xdr:rowOff>28575</xdr:rowOff>
                  </from>
                  <to>
                    <xdr:col>8</xdr:col>
                    <xdr:colOff>190500</xdr:colOff>
                    <xdr:row>70</xdr:row>
                    <xdr:rowOff>285750</xdr:rowOff>
                  </to>
                </anchor>
              </controlPr>
            </control>
          </mc:Choice>
        </mc:AlternateContent>
        <mc:AlternateContent xmlns:mc="http://schemas.openxmlformats.org/markup-compatibility/2006">
          <mc:Choice Requires="x14">
            <control shapeId="56331" r:id="rId15" name="Check Box 11">
              <controlPr defaultSize="0" autoFill="0" autoLine="0" autoPict="0">
                <anchor moveWithCells="1">
                  <from>
                    <xdr:col>5</xdr:col>
                    <xdr:colOff>1276350</xdr:colOff>
                    <xdr:row>70</xdr:row>
                    <xdr:rowOff>323850</xdr:rowOff>
                  </from>
                  <to>
                    <xdr:col>8</xdr:col>
                    <xdr:colOff>695325</xdr:colOff>
                    <xdr:row>71</xdr:row>
                    <xdr:rowOff>323850</xdr:rowOff>
                  </to>
                </anchor>
              </controlPr>
            </control>
          </mc:Choice>
        </mc:AlternateContent>
        <mc:AlternateContent xmlns:mc="http://schemas.openxmlformats.org/markup-compatibility/2006">
          <mc:Choice Requires="x14">
            <control shapeId="56332" r:id="rId16" name="Check Box 12">
              <controlPr defaultSize="0" autoFill="0" autoLine="0" autoPict="0">
                <anchor moveWithCells="1">
                  <from>
                    <xdr:col>6</xdr:col>
                    <xdr:colOff>295275</xdr:colOff>
                    <xdr:row>71</xdr:row>
                    <xdr:rowOff>333375</xdr:rowOff>
                  </from>
                  <to>
                    <xdr:col>8</xdr:col>
                    <xdr:colOff>9525</xdr:colOff>
                    <xdr:row>73</xdr:row>
                    <xdr:rowOff>0</xdr:rowOff>
                  </to>
                </anchor>
              </controlPr>
            </control>
          </mc:Choice>
        </mc:AlternateContent>
        <mc:AlternateContent xmlns:mc="http://schemas.openxmlformats.org/markup-compatibility/2006">
          <mc:Choice Requires="x14">
            <control shapeId="56333" r:id="rId17" name="Check Box 13">
              <controlPr defaultSize="0" autoFill="0" autoLine="0" autoPict="0">
                <anchor moveWithCells="1">
                  <from>
                    <xdr:col>5</xdr:col>
                    <xdr:colOff>171450</xdr:colOff>
                    <xdr:row>76</xdr:row>
                    <xdr:rowOff>57150</xdr:rowOff>
                  </from>
                  <to>
                    <xdr:col>6</xdr:col>
                    <xdr:colOff>1019175</xdr:colOff>
                    <xdr:row>76</xdr:row>
                    <xdr:rowOff>314325</xdr:rowOff>
                  </to>
                </anchor>
              </controlPr>
            </control>
          </mc:Choice>
        </mc:AlternateContent>
        <mc:AlternateContent xmlns:mc="http://schemas.openxmlformats.org/markup-compatibility/2006">
          <mc:Choice Requires="x14">
            <control shapeId="56334" r:id="rId18" name="Check Box 14">
              <controlPr defaultSize="0" autoFill="0" autoLine="0" autoPict="0">
                <anchor moveWithCells="1">
                  <from>
                    <xdr:col>5</xdr:col>
                    <xdr:colOff>952500</xdr:colOff>
                    <xdr:row>75</xdr:row>
                    <xdr:rowOff>28575</xdr:rowOff>
                  </from>
                  <to>
                    <xdr:col>6</xdr:col>
                    <xdr:colOff>419100</xdr:colOff>
                    <xdr:row>75</xdr:row>
                    <xdr:rowOff>276225</xdr:rowOff>
                  </to>
                </anchor>
              </controlPr>
            </control>
          </mc:Choice>
        </mc:AlternateContent>
        <mc:AlternateContent xmlns:mc="http://schemas.openxmlformats.org/markup-compatibility/2006">
          <mc:Choice Requires="x14">
            <control shapeId="56335" r:id="rId19" name="Check Box 15">
              <controlPr defaultSize="0" autoFill="0" autoLine="0" autoPict="0">
                <anchor moveWithCells="1">
                  <from>
                    <xdr:col>5</xdr:col>
                    <xdr:colOff>180975</xdr:colOff>
                    <xdr:row>77</xdr:row>
                    <xdr:rowOff>38100</xdr:rowOff>
                  </from>
                  <to>
                    <xdr:col>6</xdr:col>
                    <xdr:colOff>990600</xdr:colOff>
                    <xdr:row>77</xdr:row>
                    <xdr:rowOff>295275</xdr:rowOff>
                  </to>
                </anchor>
              </controlPr>
            </control>
          </mc:Choice>
        </mc:AlternateContent>
        <mc:AlternateContent xmlns:mc="http://schemas.openxmlformats.org/markup-compatibility/2006">
          <mc:Choice Requires="x14">
            <control shapeId="56336" r:id="rId20" name="Check Box 16">
              <controlPr defaultSize="0" autoFill="0" autoLine="0" autoPict="0">
                <anchor moveWithCells="1">
                  <from>
                    <xdr:col>7</xdr:col>
                    <xdr:colOff>257175</xdr:colOff>
                    <xdr:row>76</xdr:row>
                    <xdr:rowOff>57150</xdr:rowOff>
                  </from>
                  <to>
                    <xdr:col>8</xdr:col>
                    <xdr:colOff>962025</xdr:colOff>
                    <xdr:row>76</xdr:row>
                    <xdr:rowOff>285750</xdr:rowOff>
                  </to>
                </anchor>
              </controlPr>
            </control>
          </mc:Choice>
        </mc:AlternateContent>
        <mc:AlternateContent xmlns:mc="http://schemas.openxmlformats.org/markup-compatibility/2006">
          <mc:Choice Requires="x14">
            <control shapeId="56337" r:id="rId21" name="Check Box 17">
              <controlPr defaultSize="0" autoFill="0" autoLine="0" autoPict="0">
                <anchor moveWithCells="1">
                  <from>
                    <xdr:col>7</xdr:col>
                    <xdr:colOff>866775</xdr:colOff>
                    <xdr:row>77</xdr:row>
                    <xdr:rowOff>38100</xdr:rowOff>
                  </from>
                  <to>
                    <xdr:col>8</xdr:col>
                    <xdr:colOff>476250</xdr:colOff>
                    <xdr:row>77</xdr:row>
                    <xdr:rowOff>295275</xdr:rowOff>
                  </to>
                </anchor>
              </controlPr>
            </control>
          </mc:Choice>
        </mc:AlternateContent>
        <mc:AlternateContent xmlns:mc="http://schemas.openxmlformats.org/markup-compatibility/2006">
          <mc:Choice Requires="x14">
            <control shapeId="56338" r:id="rId22"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183"/>
  <sheetViews>
    <sheetView topLeftCell="B1" zoomScale="70" zoomScaleNormal="70" workbookViewId="0">
      <selection activeCell="E116" sqref="E116"/>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333</v>
      </c>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228</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t="s">
        <v>269</v>
      </c>
      <c r="D36" s="18" t="s">
        <v>270</v>
      </c>
      <c r="E36" s="19"/>
      <c r="F36" s="17"/>
      <c r="G36" s="19">
        <v>38</v>
      </c>
      <c r="H36" s="20">
        <v>28187.4</v>
      </c>
      <c r="I36" s="45">
        <v>30</v>
      </c>
      <c r="J36" s="52" t="s">
        <v>9</v>
      </c>
      <c r="K36" s="72">
        <f>ROUND(H36*(1-I36/100),2)</f>
        <v>19731.18</v>
      </c>
      <c r="L36" s="73">
        <f t="shared" ref="L36:L38" si="0">K36*G36</f>
        <v>749784.84</v>
      </c>
    </row>
    <row r="37" spans="3:12" ht="27" customHeight="1" x14ac:dyDescent="0.3">
      <c r="C37" s="17" t="s">
        <v>334</v>
      </c>
      <c r="D37" s="18" t="s">
        <v>335</v>
      </c>
      <c r="E37" s="19"/>
      <c r="F37" s="17"/>
      <c r="G37" s="19">
        <v>39</v>
      </c>
      <c r="H37" s="20">
        <v>16190.93</v>
      </c>
      <c r="I37" s="45">
        <v>30</v>
      </c>
      <c r="J37" s="52" t="s">
        <v>9</v>
      </c>
      <c r="K37" s="72">
        <f t="shared" ref="K37:K38" si="1">ROUND(H37*(1-I37/100),2)</f>
        <v>11333.65</v>
      </c>
      <c r="L37" s="73">
        <f t="shared" si="0"/>
        <v>442012.35</v>
      </c>
    </row>
    <row r="38" spans="3:12" ht="27" customHeight="1" x14ac:dyDescent="0.3">
      <c r="C38" s="17" t="s">
        <v>240</v>
      </c>
      <c r="D38" s="18" t="s">
        <v>303</v>
      </c>
      <c r="E38" s="19"/>
      <c r="F38" s="17"/>
      <c r="G38" s="19">
        <v>5</v>
      </c>
      <c r="H38" s="20">
        <v>13982.8</v>
      </c>
      <c r="I38" s="45">
        <v>0</v>
      </c>
      <c r="J38" s="52" t="s">
        <v>9</v>
      </c>
      <c r="K38" s="72">
        <f t="shared" si="1"/>
        <v>13982.8</v>
      </c>
      <c r="L38" s="73">
        <f t="shared" si="0"/>
        <v>69914</v>
      </c>
    </row>
    <row r="39" spans="3:12" ht="27" customHeight="1" x14ac:dyDescent="0.35">
      <c r="D39" s="15"/>
      <c r="E39" s="15"/>
      <c r="F39" s="15"/>
      <c r="G39" s="16">
        <f>SUM(G36+G37+G38)</f>
        <v>82</v>
      </c>
      <c r="H39" s="6"/>
      <c r="I39" s="6"/>
      <c r="J39" s="15"/>
      <c r="K39" s="42" t="s">
        <v>10</v>
      </c>
      <c r="L39" s="74">
        <f>SUM(L36:L38)</f>
        <v>1261711.19</v>
      </c>
    </row>
    <row r="40" spans="3:12" ht="27" customHeight="1" x14ac:dyDescent="0.35">
      <c r="C40" s="25" t="s">
        <v>149</v>
      </c>
      <c r="D40" s="15"/>
      <c r="E40" s="15"/>
      <c r="F40" s="15"/>
      <c r="G40" s="15"/>
      <c r="H40" s="15"/>
      <c r="I40" s="15"/>
      <c r="J40" s="15"/>
      <c r="K40" s="42" t="s">
        <v>11</v>
      </c>
      <c r="L40" s="75">
        <f>L39*20/100</f>
        <v>252342.23799999998</v>
      </c>
    </row>
    <row r="41" spans="3:12" ht="27" customHeight="1" x14ac:dyDescent="0.35">
      <c r="C41" s="26" t="s">
        <v>12</v>
      </c>
      <c r="D41" s="26"/>
      <c r="E41" s="26"/>
      <c r="F41" s="26"/>
      <c r="G41" s="26"/>
      <c r="H41" s="26"/>
      <c r="I41" s="26"/>
      <c r="J41" s="26"/>
      <c r="K41" s="42" t="s">
        <v>13</v>
      </c>
      <c r="L41" s="74">
        <f>L40+L39</f>
        <v>1514053.4279999998</v>
      </c>
    </row>
    <row r="42" spans="3:12" ht="27" customHeight="1" x14ac:dyDescent="0.35">
      <c r="C42" s="26" t="s">
        <v>14</v>
      </c>
      <c r="D42" s="26" t="s">
        <v>343</v>
      </c>
      <c r="E42" s="26"/>
      <c r="F42" s="26"/>
      <c r="G42" s="26"/>
      <c r="H42" s="26"/>
      <c r="I42" s="26"/>
      <c r="J42" s="26"/>
      <c r="K42" s="27"/>
      <c r="L42" s="28"/>
    </row>
    <row r="43" spans="3:12" ht="27" customHeight="1" x14ac:dyDescent="0.35">
      <c r="C43" s="26" t="s">
        <v>15</v>
      </c>
      <c r="D43" s="26" t="s">
        <v>344</v>
      </c>
      <c r="E43" s="26"/>
      <c r="F43" s="26"/>
      <c r="G43" s="26"/>
      <c r="H43" s="26"/>
      <c r="I43" s="26"/>
      <c r="J43" s="26"/>
      <c r="K43" s="27"/>
      <c r="L43" s="28"/>
    </row>
    <row r="44" spans="3:12" ht="27" customHeight="1" x14ac:dyDescent="0.35">
      <c r="C44" s="26" t="s">
        <v>148</v>
      </c>
      <c r="D44" s="26"/>
      <c r="E44" s="26"/>
      <c r="F44" s="26"/>
      <c r="G44" s="26"/>
      <c r="H44" s="26"/>
      <c r="I44" s="26"/>
      <c r="J44" s="26"/>
      <c r="K44" s="27"/>
      <c r="L44" s="28"/>
    </row>
    <row r="45" spans="3:12" ht="27" customHeight="1" x14ac:dyDescent="0.35">
      <c r="C45" s="26"/>
      <c r="D45" s="26"/>
      <c r="E45" s="26"/>
      <c r="F45" s="26"/>
      <c r="G45" s="26"/>
      <c r="H45" s="26"/>
      <c r="I45" s="26"/>
      <c r="J45" s="26"/>
      <c r="K45" s="27"/>
      <c r="L45" s="28"/>
    </row>
    <row r="46" spans="3:12" ht="27" customHeight="1" x14ac:dyDescent="0.25">
      <c r="C46" s="111" t="s">
        <v>16</v>
      </c>
      <c r="D46" s="111"/>
      <c r="E46" s="111"/>
      <c r="F46" s="111"/>
      <c r="G46" s="111"/>
      <c r="H46" s="111"/>
      <c r="I46" s="111"/>
      <c r="J46" s="111"/>
      <c r="K46" s="111"/>
      <c r="L46" s="112"/>
    </row>
    <row r="47" spans="3:12" ht="27" customHeight="1" x14ac:dyDescent="0.25">
      <c r="C47" s="51" t="s">
        <v>1</v>
      </c>
      <c r="D47" s="51" t="s">
        <v>2</v>
      </c>
      <c r="E47" s="51" t="s">
        <v>3</v>
      </c>
      <c r="F47" s="51" t="s">
        <v>4</v>
      </c>
      <c r="G47" s="51" t="s">
        <v>5</v>
      </c>
      <c r="H47" s="51" t="s">
        <v>133</v>
      </c>
      <c r="I47" s="51" t="s">
        <v>134</v>
      </c>
      <c r="J47" s="51" t="s">
        <v>6</v>
      </c>
      <c r="K47" s="51" t="s">
        <v>7</v>
      </c>
      <c r="L47" s="51" t="s">
        <v>8</v>
      </c>
    </row>
    <row r="48" spans="3:12" ht="27" customHeight="1" x14ac:dyDescent="0.3">
      <c r="C48" s="17" t="s">
        <v>336</v>
      </c>
      <c r="D48" s="18" t="s">
        <v>337</v>
      </c>
      <c r="E48" s="19"/>
      <c r="F48" s="17"/>
      <c r="G48" s="19">
        <v>152</v>
      </c>
      <c r="H48" s="20">
        <v>6910</v>
      </c>
      <c r="I48" s="45">
        <v>30</v>
      </c>
      <c r="J48" s="52" t="s">
        <v>9</v>
      </c>
      <c r="K48" s="72">
        <f>ROUND(H48*(1-I48/100),2)</f>
        <v>4837</v>
      </c>
      <c r="L48" s="73">
        <f t="shared" ref="L48:L50" si="2">K48*G48</f>
        <v>735224</v>
      </c>
    </row>
    <row r="49" spans="3:12" ht="27" customHeight="1" x14ac:dyDescent="0.3">
      <c r="C49" s="17" t="s">
        <v>338</v>
      </c>
      <c r="D49" s="18" t="s">
        <v>339</v>
      </c>
      <c r="E49" s="19"/>
      <c r="F49" s="17"/>
      <c r="G49" s="19">
        <v>42</v>
      </c>
      <c r="H49" s="20">
        <v>6989.8</v>
      </c>
      <c r="I49" s="45">
        <v>30</v>
      </c>
      <c r="J49" s="52" t="s">
        <v>9</v>
      </c>
      <c r="K49" s="72">
        <f t="shared" ref="K49:K50" si="3">ROUND(H49*(1-I49/100),2)</f>
        <v>4892.8599999999997</v>
      </c>
      <c r="L49" s="73">
        <f t="shared" si="2"/>
        <v>205500.12</v>
      </c>
    </row>
    <row r="50" spans="3:12" ht="27" customHeight="1" x14ac:dyDescent="0.3">
      <c r="C50" s="17" t="s">
        <v>340</v>
      </c>
      <c r="D50" s="18" t="s">
        <v>337</v>
      </c>
      <c r="E50" s="19"/>
      <c r="F50" s="17"/>
      <c r="G50" s="19">
        <v>38</v>
      </c>
      <c r="H50" s="20">
        <v>8899.4699999999993</v>
      </c>
      <c r="I50" s="45">
        <v>30</v>
      </c>
      <c r="J50" s="52" t="s">
        <v>9</v>
      </c>
      <c r="K50" s="72">
        <f t="shared" si="3"/>
        <v>6229.63</v>
      </c>
      <c r="L50" s="73">
        <f t="shared" si="2"/>
        <v>236725.94</v>
      </c>
    </row>
    <row r="51" spans="3:12" ht="27" customHeight="1" x14ac:dyDescent="0.35">
      <c r="D51" s="15"/>
      <c r="E51" s="15"/>
      <c r="F51" s="15"/>
      <c r="G51" s="16">
        <f>SUM(G48+G49+G50)</f>
        <v>232</v>
      </c>
      <c r="H51" s="6"/>
      <c r="I51" s="6"/>
      <c r="J51" s="15"/>
      <c r="K51" s="42" t="s">
        <v>10</v>
      </c>
      <c r="L51" s="74">
        <f>SUM(L48:L50)</f>
        <v>1177450.06</v>
      </c>
    </row>
    <row r="52" spans="3:12" ht="27" customHeight="1" x14ac:dyDescent="0.35">
      <c r="C52" s="25" t="s">
        <v>150</v>
      </c>
      <c r="D52" s="15"/>
      <c r="E52" s="15"/>
      <c r="F52" s="15"/>
      <c r="G52" s="15"/>
      <c r="H52" s="15"/>
      <c r="I52" s="15"/>
      <c r="J52" s="15"/>
      <c r="K52" s="42" t="s">
        <v>11</v>
      </c>
      <c r="L52" s="75">
        <f>L51*20/100</f>
        <v>235490.01200000002</v>
      </c>
    </row>
    <row r="53" spans="3:12" ht="27" customHeight="1" x14ac:dyDescent="0.35">
      <c r="C53" s="26" t="s">
        <v>341</v>
      </c>
      <c r="D53" s="26"/>
      <c r="E53" s="26"/>
      <c r="F53" s="26"/>
      <c r="G53" s="26"/>
      <c r="H53" s="26"/>
      <c r="I53" s="26"/>
      <c r="J53" s="26"/>
      <c r="K53" s="42" t="s">
        <v>13</v>
      </c>
      <c r="L53" s="74">
        <f>L52+L51</f>
        <v>1412940.0720000002</v>
      </c>
    </row>
    <row r="54" spans="3:12" ht="27" customHeight="1" x14ac:dyDescent="0.35">
      <c r="C54" s="26" t="s">
        <v>284</v>
      </c>
      <c r="D54" s="26" t="s">
        <v>342</v>
      </c>
      <c r="E54" s="26"/>
      <c r="F54" s="26"/>
      <c r="G54" s="26"/>
      <c r="H54" s="26"/>
      <c r="I54" s="26"/>
      <c r="J54" s="26"/>
      <c r="K54" s="27"/>
      <c r="L54" s="28"/>
    </row>
    <row r="55" spans="3:12" ht="27" customHeight="1" x14ac:dyDescent="0.35">
      <c r="C55" s="26" t="s">
        <v>19</v>
      </c>
      <c r="D55" s="26"/>
      <c r="E55" s="26"/>
      <c r="F55" s="26"/>
      <c r="G55" s="26"/>
      <c r="H55" s="26"/>
      <c r="I55" s="26"/>
      <c r="J55" s="26"/>
      <c r="K55" s="27"/>
      <c r="L55" s="28"/>
    </row>
    <row r="56" spans="3:12" ht="27" customHeight="1" x14ac:dyDescent="0.35">
      <c r="C56" s="26" t="s">
        <v>20</v>
      </c>
      <c r="D56" s="26"/>
      <c r="E56" s="26"/>
      <c r="F56" s="26"/>
      <c r="G56" s="26"/>
      <c r="H56" s="26"/>
      <c r="I56" s="26"/>
      <c r="J56" s="26"/>
      <c r="K56" s="27"/>
      <c r="L56" s="28"/>
    </row>
    <row r="57" spans="3:12" ht="27" customHeight="1" x14ac:dyDescent="0.35">
      <c r="D57" s="26"/>
      <c r="E57" s="26"/>
      <c r="F57" s="26"/>
      <c r="G57" s="26"/>
      <c r="H57" s="26"/>
      <c r="I57" s="26"/>
      <c r="J57" s="26"/>
      <c r="K57" s="27"/>
      <c r="L57" s="28"/>
    </row>
    <row r="58" spans="3:12" ht="27" customHeight="1" x14ac:dyDescent="0.25">
      <c r="C58" s="111" t="s">
        <v>21</v>
      </c>
      <c r="D58" s="111"/>
      <c r="E58" s="111"/>
      <c r="F58" s="111"/>
      <c r="G58" s="111"/>
      <c r="H58" s="111"/>
      <c r="I58" s="111"/>
      <c r="J58" s="111"/>
      <c r="K58" s="111"/>
      <c r="L58" s="112"/>
    </row>
    <row r="59" spans="3:12" ht="27" customHeight="1" x14ac:dyDescent="0.25">
      <c r="C59" s="51" t="s">
        <v>1</v>
      </c>
      <c r="D59" s="51" t="s">
        <v>2</v>
      </c>
      <c r="E59" s="51" t="s">
        <v>69</v>
      </c>
      <c r="F59" s="51" t="s">
        <v>70</v>
      </c>
      <c r="G59" s="51" t="s">
        <v>5</v>
      </c>
      <c r="H59" s="51" t="s">
        <v>133</v>
      </c>
      <c r="I59" s="51" t="s">
        <v>134</v>
      </c>
      <c r="J59" s="51" t="s">
        <v>6</v>
      </c>
      <c r="K59" s="51" t="s">
        <v>7</v>
      </c>
      <c r="L59" s="51" t="s">
        <v>8</v>
      </c>
    </row>
    <row r="60" spans="3:12" ht="27" customHeight="1" x14ac:dyDescent="0.3">
      <c r="C60" s="17" t="s">
        <v>346</v>
      </c>
      <c r="D60" s="18" t="s">
        <v>345</v>
      </c>
      <c r="E60" s="19"/>
      <c r="F60" s="17"/>
      <c r="G60" s="19">
        <v>238</v>
      </c>
      <c r="H60" s="20">
        <v>7788</v>
      </c>
      <c r="I60" s="45">
        <v>30</v>
      </c>
      <c r="J60" s="52" t="s">
        <v>71</v>
      </c>
      <c r="K60" s="72">
        <f>ROUND(H60*(1-I60/100),2)</f>
        <v>5451.6</v>
      </c>
      <c r="L60" s="73">
        <f t="shared" ref="L60" si="4">K60*G60</f>
        <v>1297480.8</v>
      </c>
    </row>
    <row r="61" spans="3:12" ht="27" customHeight="1" x14ac:dyDescent="0.35">
      <c r="D61" s="15"/>
      <c r="E61" s="15"/>
      <c r="F61" s="15"/>
      <c r="G61" s="16">
        <f>SUM(G60)</f>
        <v>238</v>
      </c>
      <c r="H61" s="6"/>
      <c r="I61" s="6"/>
      <c r="J61" s="15"/>
      <c r="K61" s="42" t="s">
        <v>10</v>
      </c>
      <c r="L61" s="74">
        <f>SUM(L60:L60)</f>
        <v>1297480.8</v>
      </c>
    </row>
    <row r="62" spans="3:12" ht="27" customHeight="1" x14ac:dyDescent="0.35">
      <c r="C62" s="25" t="s">
        <v>151</v>
      </c>
      <c r="D62" s="15"/>
      <c r="E62" s="15"/>
      <c r="F62" s="15"/>
      <c r="G62" s="15"/>
      <c r="H62" s="15"/>
      <c r="I62" s="15"/>
      <c r="J62" s="15"/>
      <c r="K62" s="42" t="s">
        <v>22</v>
      </c>
      <c r="L62" s="75">
        <f>L61*10/100</f>
        <v>129748.08</v>
      </c>
    </row>
    <row r="63" spans="3:12" ht="27" customHeight="1" x14ac:dyDescent="0.35">
      <c r="C63" s="26" t="s">
        <v>23</v>
      </c>
      <c r="D63" s="26" t="s">
        <v>24</v>
      </c>
      <c r="E63" s="26" t="s">
        <v>58</v>
      </c>
      <c r="F63" s="26"/>
      <c r="G63" s="26"/>
      <c r="H63" s="26"/>
      <c r="I63" s="26"/>
      <c r="J63" s="26"/>
      <c r="K63" s="42" t="s">
        <v>13</v>
      </c>
      <c r="L63" s="74">
        <f>L62+L61</f>
        <v>1427228.8800000001</v>
      </c>
    </row>
    <row r="64" spans="3:12" ht="27" customHeight="1" x14ac:dyDescent="0.35">
      <c r="C64" s="26" t="s">
        <v>65</v>
      </c>
      <c r="D64" s="26" t="s">
        <v>53</v>
      </c>
      <c r="E64" s="26"/>
      <c r="F64" s="26"/>
      <c r="G64" s="26"/>
      <c r="H64" s="26"/>
      <c r="I64" s="26"/>
      <c r="J64" s="26"/>
      <c r="K64" s="27"/>
      <c r="L64" s="28"/>
    </row>
    <row r="65" spans="3:12" ht="27" customHeight="1" x14ac:dyDescent="0.35">
      <c r="C65" s="26" t="s">
        <v>52</v>
      </c>
      <c r="E65" s="26"/>
      <c r="F65" s="26"/>
      <c r="G65" s="26"/>
      <c r="H65" s="26"/>
      <c r="I65" s="26"/>
      <c r="J65" s="26"/>
      <c r="K65" s="27"/>
      <c r="L65" s="28"/>
    </row>
    <row r="66" spans="3:12" ht="27" customHeight="1" x14ac:dyDescent="0.35">
      <c r="C66" s="26" t="s">
        <v>66</v>
      </c>
      <c r="D66" s="26"/>
      <c r="E66" s="26"/>
      <c r="F66" s="26"/>
      <c r="G66" s="26"/>
      <c r="H66" s="26"/>
      <c r="I66" s="26"/>
      <c r="J66" s="26"/>
      <c r="K66" s="27"/>
      <c r="L66" s="28"/>
    </row>
    <row r="67" spans="3:12" ht="27" customHeight="1" x14ac:dyDescent="0.35">
      <c r="C67" s="26"/>
      <c r="D67" s="26"/>
      <c r="E67" s="26"/>
      <c r="F67" s="26"/>
      <c r="G67" s="26"/>
      <c r="H67" s="26"/>
      <c r="I67" s="26"/>
      <c r="J67" s="26"/>
      <c r="K67" s="27"/>
      <c r="L67" s="28"/>
    </row>
    <row r="68" spans="3:12" ht="27" customHeight="1" x14ac:dyDescent="0.35">
      <c r="C68" s="26"/>
      <c r="D68" s="26"/>
      <c r="E68" s="26"/>
      <c r="F68" s="26"/>
      <c r="G68" s="26"/>
      <c r="H68" s="26"/>
      <c r="I68" s="26"/>
      <c r="J68" s="26"/>
      <c r="K68" s="27"/>
      <c r="L68" s="28"/>
    </row>
    <row r="69" spans="3:12" ht="27" customHeight="1" x14ac:dyDescent="0.25">
      <c r="C69" s="111" t="s">
        <v>72</v>
      </c>
      <c r="D69" s="111"/>
      <c r="E69" s="111"/>
      <c r="F69" s="111"/>
      <c r="G69" s="111"/>
      <c r="H69" s="111"/>
      <c r="I69" s="111"/>
      <c r="J69" s="111"/>
      <c r="K69" s="111"/>
      <c r="L69" s="112"/>
    </row>
    <row r="70" spans="3:12" ht="27" customHeight="1" x14ac:dyDescent="0.25">
      <c r="C70" s="51" t="s">
        <v>1</v>
      </c>
      <c r="D70" s="51" t="s">
        <v>2</v>
      </c>
      <c r="E70" s="51" t="s">
        <v>69</v>
      </c>
      <c r="F70" s="51" t="s">
        <v>70</v>
      </c>
      <c r="G70" s="51" t="s">
        <v>5</v>
      </c>
      <c r="H70" s="51" t="s">
        <v>133</v>
      </c>
      <c r="I70" s="51" t="s">
        <v>134</v>
      </c>
      <c r="J70" s="51" t="s">
        <v>6</v>
      </c>
      <c r="K70" s="51" t="s">
        <v>7</v>
      </c>
      <c r="L70" s="51" t="s">
        <v>8</v>
      </c>
    </row>
    <row r="71" spans="3:12" ht="27" customHeight="1" x14ac:dyDescent="0.3">
      <c r="C71" s="17" t="s">
        <v>347</v>
      </c>
      <c r="D71" s="18" t="s">
        <v>348</v>
      </c>
      <c r="E71" s="19"/>
      <c r="F71" s="17"/>
      <c r="G71" s="19">
        <v>127.16</v>
      </c>
      <c r="H71" s="20">
        <v>11237.8</v>
      </c>
      <c r="I71" s="45">
        <v>30</v>
      </c>
      <c r="J71" s="52" t="s">
        <v>73</v>
      </c>
      <c r="K71" s="72">
        <f>ROUND(H71*(1-I71/100),2)</f>
        <v>7866.46</v>
      </c>
      <c r="L71" s="73">
        <f t="shared" ref="L71" si="5">K71*G71</f>
        <v>1000299.0536</v>
      </c>
    </row>
    <row r="72" spans="3:12" ht="27" customHeight="1" x14ac:dyDescent="0.35">
      <c r="D72" s="15"/>
      <c r="E72" s="15"/>
      <c r="F72" s="15"/>
      <c r="G72" s="16">
        <f>SUM(G71)</f>
        <v>127.16</v>
      </c>
      <c r="H72" s="6"/>
      <c r="I72" s="6"/>
      <c r="J72" s="15"/>
      <c r="K72" s="42" t="s">
        <v>10</v>
      </c>
      <c r="L72" s="74">
        <f>SUM(L71:L71)</f>
        <v>1000299.0536</v>
      </c>
    </row>
    <row r="73" spans="3:12" ht="27" customHeight="1" x14ac:dyDescent="0.35">
      <c r="C73" s="25" t="s">
        <v>152</v>
      </c>
      <c r="D73" s="15"/>
      <c r="E73" s="15"/>
      <c r="F73" s="15"/>
      <c r="G73" s="15"/>
      <c r="H73" s="15"/>
      <c r="I73" s="15"/>
      <c r="J73" s="15"/>
      <c r="K73" s="42" t="s">
        <v>22</v>
      </c>
      <c r="L73" s="75">
        <f>L72*10/100</f>
        <v>100029.90536</v>
      </c>
    </row>
    <row r="74" spans="3:12" ht="27" customHeight="1" x14ac:dyDescent="0.35">
      <c r="C74" s="26" t="s">
        <v>23</v>
      </c>
      <c r="D74" s="26"/>
      <c r="E74" s="26" t="s">
        <v>57</v>
      </c>
      <c r="F74" s="26"/>
      <c r="G74" s="26"/>
      <c r="H74" s="26"/>
      <c r="I74" s="26"/>
      <c r="J74" s="26"/>
      <c r="K74" s="42" t="s">
        <v>13</v>
      </c>
      <c r="L74" s="74">
        <f>L73+L72</f>
        <v>1100328.95896</v>
      </c>
    </row>
    <row r="75" spans="3:12" ht="27" customHeight="1" x14ac:dyDescent="0.35">
      <c r="C75" s="26" t="s">
        <v>54</v>
      </c>
      <c r="D75" s="26"/>
      <c r="E75" s="26" t="s">
        <v>58</v>
      </c>
      <c r="F75" s="26"/>
      <c r="G75" s="26"/>
      <c r="H75" s="26"/>
      <c r="I75" s="26"/>
      <c r="J75" s="26"/>
      <c r="K75" s="27"/>
      <c r="L75" s="28"/>
    </row>
    <row r="76" spans="3:12" ht="27" customHeight="1" x14ac:dyDescent="0.35">
      <c r="C76" s="26" t="s">
        <v>52</v>
      </c>
      <c r="E76" s="26" t="s">
        <v>67</v>
      </c>
      <c r="F76" s="26"/>
      <c r="G76" s="26"/>
      <c r="H76" s="26"/>
      <c r="I76" s="26"/>
      <c r="J76" s="26"/>
      <c r="K76" s="27"/>
      <c r="L76" s="28"/>
    </row>
    <row r="77" spans="3:12" ht="27" customHeight="1" x14ac:dyDescent="0.35">
      <c r="C77" s="26" t="s">
        <v>55</v>
      </c>
      <c r="D77" s="26"/>
      <c r="E77" s="26"/>
      <c r="F77" s="26"/>
      <c r="G77" s="26"/>
      <c r="H77" s="26"/>
      <c r="I77" s="26"/>
      <c r="J77" s="26"/>
      <c r="K77" s="27"/>
      <c r="L77" s="28"/>
    </row>
    <row r="78" spans="3:12" ht="27" customHeight="1" x14ac:dyDescent="0.35">
      <c r="C78" s="26" t="s">
        <v>56</v>
      </c>
      <c r="D78" s="26"/>
      <c r="E78" s="26"/>
      <c r="F78" s="26"/>
      <c r="G78" s="26"/>
      <c r="H78" s="26"/>
      <c r="I78" s="26"/>
      <c r="J78" s="26"/>
      <c r="K78" s="27"/>
      <c r="L78" s="28"/>
    </row>
    <row r="79" spans="3:12" ht="27" customHeight="1" x14ac:dyDescent="0.35">
      <c r="C79" s="26"/>
      <c r="D79" s="26"/>
      <c r="E79" s="26"/>
      <c r="F79" s="26"/>
      <c r="G79" s="26"/>
      <c r="H79" s="26"/>
      <c r="I79" s="26"/>
      <c r="J79" s="26"/>
      <c r="K79" s="27"/>
      <c r="L79" s="28"/>
    </row>
    <row r="80" spans="3:12" ht="27" customHeight="1" x14ac:dyDescent="0.35">
      <c r="C80" s="26"/>
      <c r="D80" s="26"/>
      <c r="E80" s="26"/>
      <c r="F80" s="26"/>
      <c r="G80" s="26"/>
      <c r="H80" s="26"/>
      <c r="I80" s="26"/>
      <c r="J80" s="26"/>
      <c r="K80" s="27"/>
      <c r="L80" s="28"/>
    </row>
    <row r="81" spans="3:12" ht="27" customHeight="1" x14ac:dyDescent="0.35">
      <c r="C81" s="26"/>
      <c r="D81" s="26"/>
      <c r="E81" s="26"/>
      <c r="F81" s="26"/>
      <c r="G81" s="26"/>
      <c r="H81" s="26"/>
      <c r="I81" s="26"/>
      <c r="J81" s="26"/>
      <c r="K81" s="27"/>
      <c r="L81" s="28"/>
    </row>
    <row r="82" spans="3:12" ht="27" customHeight="1" x14ac:dyDescent="0.25">
      <c r="C82" s="111" t="s">
        <v>78</v>
      </c>
      <c r="D82" s="111"/>
      <c r="E82" s="111"/>
      <c r="F82" s="111"/>
      <c r="G82" s="111"/>
      <c r="H82" s="111"/>
      <c r="I82" s="111"/>
      <c r="J82" s="111"/>
      <c r="K82" s="111"/>
      <c r="L82" s="112"/>
    </row>
    <row r="83" spans="3:12" ht="27" customHeight="1" x14ac:dyDescent="0.25">
      <c r="C83" s="51" t="s">
        <v>1</v>
      </c>
      <c r="D83" s="138" t="s">
        <v>2</v>
      </c>
      <c r="E83" s="139"/>
      <c r="F83" s="140"/>
      <c r="G83" s="51" t="s">
        <v>5</v>
      </c>
      <c r="H83" s="16"/>
      <c r="I83" s="16"/>
      <c r="J83" s="51" t="s">
        <v>6</v>
      </c>
      <c r="K83" s="51" t="s">
        <v>7</v>
      </c>
      <c r="L83" s="51" t="s">
        <v>8</v>
      </c>
    </row>
    <row r="84" spans="3:12" ht="27" customHeight="1" x14ac:dyDescent="0.3">
      <c r="C84" s="17"/>
      <c r="D84" s="135"/>
      <c r="E84" s="136"/>
      <c r="F84" s="137"/>
      <c r="G84" s="19"/>
      <c r="H84" s="19"/>
      <c r="I84" s="19"/>
      <c r="J84" s="52" t="s">
        <v>9</v>
      </c>
      <c r="K84" s="21">
        <v>0</v>
      </c>
      <c r="L84" s="73">
        <f t="shared" ref="L84:L98" si="6">K84*G84</f>
        <v>0</v>
      </c>
    </row>
    <row r="85" spans="3:12" ht="27" customHeight="1" x14ac:dyDescent="0.3">
      <c r="C85" s="17"/>
      <c r="D85" s="135"/>
      <c r="E85" s="136"/>
      <c r="F85" s="137"/>
      <c r="G85" s="19"/>
      <c r="H85" s="19"/>
      <c r="I85" s="19"/>
      <c r="J85" s="52" t="s">
        <v>9</v>
      </c>
      <c r="K85" s="21">
        <v>0</v>
      </c>
      <c r="L85" s="73">
        <f t="shared" si="6"/>
        <v>0</v>
      </c>
    </row>
    <row r="86" spans="3:12" ht="27" customHeight="1" x14ac:dyDescent="0.3">
      <c r="C86" s="17"/>
      <c r="D86" s="135"/>
      <c r="E86" s="136"/>
      <c r="F86" s="137"/>
      <c r="G86" s="19"/>
      <c r="H86" s="19"/>
      <c r="I86" s="19"/>
      <c r="J86" s="52" t="s">
        <v>9</v>
      </c>
      <c r="K86" s="21">
        <v>0</v>
      </c>
      <c r="L86" s="73">
        <f t="shared" si="6"/>
        <v>0</v>
      </c>
    </row>
    <row r="87" spans="3:12" ht="27" customHeight="1" x14ac:dyDescent="0.3">
      <c r="C87" s="17"/>
      <c r="D87" s="135"/>
      <c r="E87" s="136"/>
      <c r="F87" s="137"/>
      <c r="G87" s="19"/>
      <c r="H87" s="19"/>
      <c r="I87" s="19"/>
      <c r="J87" s="52" t="s">
        <v>9</v>
      </c>
      <c r="K87" s="21">
        <v>0</v>
      </c>
      <c r="L87" s="73">
        <f t="shared" si="6"/>
        <v>0</v>
      </c>
    </row>
    <row r="88" spans="3:12" ht="27" customHeight="1" x14ac:dyDescent="0.3">
      <c r="C88" s="17"/>
      <c r="D88" s="135"/>
      <c r="E88" s="136"/>
      <c r="F88" s="137"/>
      <c r="G88" s="19"/>
      <c r="H88" s="19"/>
      <c r="I88" s="19"/>
      <c r="J88" s="52" t="s">
        <v>9</v>
      </c>
      <c r="K88" s="21">
        <v>0</v>
      </c>
      <c r="L88" s="73">
        <f t="shared" si="6"/>
        <v>0</v>
      </c>
    </row>
    <row r="89" spans="3:12" ht="27" customHeight="1" x14ac:dyDescent="0.3">
      <c r="C89" s="17"/>
      <c r="D89" s="135"/>
      <c r="E89" s="136"/>
      <c r="F89" s="137"/>
      <c r="G89" s="19"/>
      <c r="H89" s="19"/>
      <c r="I89" s="19"/>
      <c r="J89" s="52" t="s">
        <v>9</v>
      </c>
      <c r="K89" s="21">
        <v>0</v>
      </c>
      <c r="L89" s="73">
        <f t="shared" si="6"/>
        <v>0</v>
      </c>
    </row>
    <row r="90" spans="3:12" ht="27" customHeight="1" x14ac:dyDescent="0.3">
      <c r="C90" s="17"/>
      <c r="D90" s="135"/>
      <c r="E90" s="136"/>
      <c r="F90" s="137"/>
      <c r="G90" s="19"/>
      <c r="H90" s="19"/>
      <c r="I90" s="19"/>
      <c r="J90" s="52" t="s">
        <v>9</v>
      </c>
      <c r="K90" s="21">
        <v>0</v>
      </c>
      <c r="L90" s="73">
        <f t="shared" si="6"/>
        <v>0</v>
      </c>
    </row>
    <row r="91" spans="3:12" ht="27" customHeight="1" x14ac:dyDescent="0.3">
      <c r="C91" s="17"/>
      <c r="D91" s="135"/>
      <c r="E91" s="136"/>
      <c r="F91" s="137"/>
      <c r="G91" s="19"/>
      <c r="H91" s="19"/>
      <c r="I91" s="19"/>
      <c r="J91" s="52" t="s">
        <v>9</v>
      </c>
      <c r="K91" s="21">
        <v>0</v>
      </c>
      <c r="L91" s="73">
        <f t="shared" si="6"/>
        <v>0</v>
      </c>
    </row>
    <row r="92" spans="3:12" ht="27" customHeight="1" x14ac:dyDescent="0.3">
      <c r="C92" s="17"/>
      <c r="D92" s="135"/>
      <c r="E92" s="136"/>
      <c r="F92" s="137"/>
      <c r="G92" s="19"/>
      <c r="H92" s="19"/>
      <c r="I92" s="19"/>
      <c r="J92" s="52" t="s">
        <v>9</v>
      </c>
      <c r="K92" s="21">
        <v>0</v>
      </c>
      <c r="L92" s="73">
        <f t="shared" si="6"/>
        <v>0</v>
      </c>
    </row>
    <row r="93" spans="3:12" ht="27" customHeight="1" x14ac:dyDescent="0.3">
      <c r="C93" s="17"/>
      <c r="D93" s="135"/>
      <c r="E93" s="136"/>
      <c r="F93" s="137"/>
      <c r="G93" s="19"/>
      <c r="H93" s="19"/>
      <c r="I93" s="19"/>
      <c r="J93" s="52" t="s">
        <v>9</v>
      </c>
      <c r="K93" s="21">
        <v>0</v>
      </c>
      <c r="L93" s="73">
        <f t="shared" si="6"/>
        <v>0</v>
      </c>
    </row>
    <row r="94" spans="3:12" ht="27" customHeight="1" x14ac:dyDescent="0.3">
      <c r="C94" s="17"/>
      <c r="D94" s="135"/>
      <c r="E94" s="136"/>
      <c r="F94" s="137"/>
      <c r="G94" s="19"/>
      <c r="H94" s="19"/>
      <c r="I94" s="19"/>
      <c r="J94" s="52" t="s">
        <v>9</v>
      </c>
      <c r="K94" s="21">
        <v>0</v>
      </c>
      <c r="L94" s="73">
        <f t="shared" si="6"/>
        <v>0</v>
      </c>
    </row>
    <row r="95" spans="3:12" ht="27" customHeight="1" x14ac:dyDescent="0.3">
      <c r="C95" s="17"/>
      <c r="D95" s="135"/>
      <c r="E95" s="136"/>
      <c r="F95" s="137"/>
      <c r="G95" s="19"/>
      <c r="H95" s="19"/>
      <c r="I95" s="19"/>
      <c r="J95" s="52" t="s">
        <v>9</v>
      </c>
      <c r="K95" s="21">
        <v>0</v>
      </c>
      <c r="L95" s="73">
        <f t="shared" si="6"/>
        <v>0</v>
      </c>
    </row>
    <row r="96" spans="3:12" ht="27" customHeight="1" x14ac:dyDescent="0.3">
      <c r="C96" s="17"/>
      <c r="D96" s="135"/>
      <c r="E96" s="136"/>
      <c r="F96" s="137"/>
      <c r="G96" s="19"/>
      <c r="H96" s="19"/>
      <c r="I96" s="19"/>
      <c r="J96" s="52" t="s">
        <v>9</v>
      </c>
      <c r="K96" s="21">
        <v>0</v>
      </c>
      <c r="L96" s="73">
        <f t="shared" si="6"/>
        <v>0</v>
      </c>
    </row>
    <row r="97" spans="3:13" ht="27" customHeight="1" x14ac:dyDescent="0.3">
      <c r="C97" s="17"/>
      <c r="D97" s="135"/>
      <c r="E97" s="136"/>
      <c r="F97" s="137"/>
      <c r="G97" s="19"/>
      <c r="H97" s="19"/>
      <c r="I97" s="19"/>
      <c r="J97" s="52" t="s">
        <v>9</v>
      </c>
      <c r="K97" s="21">
        <v>0</v>
      </c>
      <c r="L97" s="73">
        <f t="shared" si="6"/>
        <v>0</v>
      </c>
    </row>
    <row r="98" spans="3:13" ht="27" customHeight="1" x14ac:dyDescent="0.3">
      <c r="C98" s="22"/>
      <c r="D98" s="135"/>
      <c r="E98" s="136"/>
      <c r="F98" s="137"/>
      <c r="G98" s="19"/>
      <c r="H98" s="19"/>
      <c r="I98" s="19"/>
      <c r="J98" s="52" t="s">
        <v>9</v>
      </c>
      <c r="K98" s="21">
        <v>0</v>
      </c>
      <c r="L98" s="73">
        <f t="shared" si="6"/>
        <v>0</v>
      </c>
    </row>
    <row r="99" spans="3:13" ht="27" customHeight="1" x14ac:dyDescent="0.35">
      <c r="D99" s="15"/>
      <c r="E99" s="15"/>
      <c r="F99" s="15"/>
      <c r="G99" s="16">
        <f>SUM(G84:G98)</f>
        <v>0</v>
      </c>
      <c r="H99" s="6"/>
      <c r="I99" s="6"/>
      <c r="J99" s="15"/>
      <c r="K99" s="42" t="s">
        <v>10</v>
      </c>
      <c r="L99" s="74">
        <f>SUM(L84:L98)</f>
        <v>0</v>
      </c>
    </row>
    <row r="100" spans="3:13" ht="27" customHeight="1" x14ac:dyDescent="0.35">
      <c r="C100" s="25"/>
      <c r="D100" s="15"/>
      <c r="E100" s="15"/>
      <c r="F100" s="15"/>
      <c r="G100" s="15"/>
      <c r="H100" s="15"/>
      <c r="I100" s="15"/>
      <c r="J100" s="15"/>
      <c r="K100" s="42" t="s">
        <v>11</v>
      </c>
      <c r="L100" s="75">
        <f>L99*20/100</f>
        <v>0</v>
      </c>
    </row>
    <row r="101" spans="3:13" ht="27" customHeight="1" x14ac:dyDescent="0.35">
      <c r="C101" s="25" t="s">
        <v>158</v>
      </c>
      <c r="D101" s="15"/>
      <c r="E101" s="15"/>
      <c r="F101" s="26"/>
      <c r="G101" s="26"/>
      <c r="H101" s="26"/>
      <c r="I101" s="26"/>
      <c r="J101" s="26"/>
      <c r="K101" s="42" t="s">
        <v>13</v>
      </c>
      <c r="L101" s="74">
        <f>L100+L99</f>
        <v>0</v>
      </c>
    </row>
    <row r="102" spans="3:13" ht="27" customHeight="1" x14ac:dyDescent="0.35">
      <c r="C102" s="26" t="s">
        <v>62</v>
      </c>
      <c r="D102" s="26"/>
      <c r="E102" s="26" t="s">
        <v>64</v>
      </c>
      <c r="F102" s="26"/>
      <c r="G102" s="26"/>
      <c r="H102" s="26"/>
      <c r="I102" s="26"/>
      <c r="J102" s="26"/>
      <c r="K102" s="27"/>
      <c r="L102" s="29"/>
    </row>
    <row r="103" spans="3:13" ht="27" customHeight="1" x14ac:dyDescent="0.35">
      <c r="C103" s="26" t="s">
        <v>63</v>
      </c>
      <c r="D103" s="26"/>
      <c r="E103" s="26" t="s">
        <v>79</v>
      </c>
      <c r="F103" s="26"/>
      <c r="G103" s="26"/>
      <c r="H103" s="26"/>
      <c r="I103" s="26"/>
      <c r="J103" s="26"/>
      <c r="K103" s="27"/>
      <c r="L103" s="29"/>
    </row>
    <row r="104" spans="3:13" ht="27" customHeight="1" thickBot="1" x14ac:dyDescent="0.4">
      <c r="C104" s="26"/>
      <c r="D104" s="26"/>
      <c r="E104" s="26"/>
      <c r="F104" s="26"/>
      <c r="G104" s="26"/>
      <c r="H104" s="26"/>
      <c r="I104" s="26"/>
      <c r="J104" s="26"/>
      <c r="K104" s="27"/>
      <c r="L104" s="29"/>
    </row>
    <row r="105" spans="3:13" ht="27" customHeight="1" thickBot="1" x14ac:dyDescent="0.4">
      <c r="C105" s="26"/>
      <c r="D105" s="26"/>
      <c r="E105" s="26"/>
      <c r="F105" s="146" t="s">
        <v>125</v>
      </c>
      <c r="G105" s="147"/>
      <c r="H105" s="147"/>
      <c r="I105" s="147"/>
      <c r="J105" s="148"/>
      <c r="K105" s="27"/>
      <c r="L105" s="29"/>
    </row>
    <row r="106" spans="3:13" ht="27" customHeight="1" thickBot="1" x14ac:dyDescent="0.35">
      <c r="C106" s="141" t="s">
        <v>80</v>
      </c>
      <c r="D106" s="142"/>
      <c r="E106" s="26"/>
      <c r="F106" s="143" t="s">
        <v>122</v>
      </c>
      <c r="G106" s="144"/>
      <c r="H106" s="144"/>
      <c r="I106" s="144"/>
      <c r="J106" s="145"/>
      <c r="L106" s="30"/>
    </row>
    <row r="107" spans="3:13" ht="27" customHeight="1" x14ac:dyDescent="0.25">
      <c r="C107" s="53" t="s">
        <v>81</v>
      </c>
      <c r="D107" s="31">
        <f>L41</f>
        <v>1514053.4279999998</v>
      </c>
      <c r="E107" s="26"/>
      <c r="F107" s="143" t="s">
        <v>124</v>
      </c>
      <c r="G107" s="144"/>
      <c r="H107" s="144"/>
      <c r="I107" s="144"/>
      <c r="J107" s="145"/>
    </row>
    <row r="108" spans="3:13" ht="27" customHeight="1" thickBot="1" x14ac:dyDescent="0.3">
      <c r="C108" s="54" t="s">
        <v>82</v>
      </c>
      <c r="D108" s="32">
        <f>L53</f>
        <v>1412940.0720000002</v>
      </c>
      <c r="E108" s="33"/>
      <c r="F108" s="153" t="s">
        <v>123</v>
      </c>
      <c r="G108" s="154"/>
      <c r="H108" s="154"/>
      <c r="I108" s="154"/>
      <c r="J108" s="155"/>
      <c r="K108" s="26"/>
      <c r="L108" s="26"/>
    </row>
    <row r="109" spans="3:13" ht="27" customHeight="1" thickBot="1" x14ac:dyDescent="0.3">
      <c r="C109" s="54" t="s">
        <v>83</v>
      </c>
      <c r="D109" s="32">
        <f>L63</f>
        <v>1427228.8800000001</v>
      </c>
      <c r="E109" s="33"/>
      <c r="F109" s="33"/>
      <c r="G109" s="26"/>
      <c r="H109" s="26"/>
      <c r="I109" s="26"/>
      <c r="J109" s="26"/>
      <c r="K109" s="26"/>
      <c r="L109" s="26"/>
    </row>
    <row r="110" spans="3:13" ht="27" customHeight="1" thickBot="1" x14ac:dyDescent="0.3">
      <c r="C110" s="54" t="s">
        <v>84</v>
      </c>
      <c r="D110" s="32">
        <f>L74</f>
        <v>1100328.95896</v>
      </c>
      <c r="E110" s="33"/>
      <c r="F110" s="161" t="s">
        <v>126</v>
      </c>
      <c r="G110" s="162"/>
      <c r="H110" s="162"/>
      <c r="I110" s="163"/>
    </row>
    <row r="111" spans="3:13" ht="27" customHeight="1" x14ac:dyDescent="0.25">
      <c r="C111" s="54" t="s">
        <v>75</v>
      </c>
      <c r="D111" s="32">
        <v>0</v>
      </c>
      <c r="E111" s="33"/>
      <c r="F111" s="156" t="s">
        <v>141</v>
      </c>
      <c r="G111" s="157"/>
      <c r="H111" s="34"/>
      <c r="I111" s="44"/>
    </row>
    <row r="112" spans="3:13" ht="27" customHeight="1" x14ac:dyDescent="0.25">
      <c r="C112" s="54" t="s">
        <v>85</v>
      </c>
      <c r="D112" s="32">
        <v>0</v>
      </c>
      <c r="E112" s="26"/>
      <c r="F112" s="143" t="s">
        <v>127</v>
      </c>
      <c r="G112" s="144"/>
      <c r="H112" s="144" t="s">
        <v>144</v>
      </c>
      <c r="I112" s="145"/>
      <c r="K112" s="1" t="s">
        <v>142</v>
      </c>
      <c r="M112" s="34"/>
    </row>
    <row r="113" spans="3:13" ht="27" customHeight="1" x14ac:dyDescent="0.25">
      <c r="C113" s="54" t="s">
        <v>138</v>
      </c>
      <c r="D113" s="32">
        <v>0</v>
      </c>
      <c r="E113" s="26"/>
      <c r="F113" s="143" t="s">
        <v>143</v>
      </c>
      <c r="G113" s="144"/>
      <c r="H113" s="144" t="s">
        <v>146</v>
      </c>
      <c r="I113" s="145"/>
      <c r="M113" s="34"/>
    </row>
    <row r="114" spans="3:13" ht="27" customHeight="1" thickBot="1" x14ac:dyDescent="0.3">
      <c r="C114" s="54" t="s">
        <v>86</v>
      </c>
      <c r="D114" s="32">
        <f>L101</f>
        <v>0</v>
      </c>
      <c r="E114" s="26"/>
      <c r="F114" s="43" t="s">
        <v>142</v>
      </c>
      <c r="G114" s="34"/>
      <c r="H114" s="34"/>
      <c r="I114" s="44"/>
      <c r="K114" s="1" t="s">
        <v>145</v>
      </c>
    </row>
    <row r="115" spans="3:13" ht="27" customHeight="1" thickBot="1" x14ac:dyDescent="0.4">
      <c r="C115" s="55" t="s">
        <v>87</v>
      </c>
      <c r="D115" s="35">
        <f>SUM(D107:D114)</f>
        <v>5454551.3389599994</v>
      </c>
      <c r="E115" s="26"/>
      <c r="F115" s="158" t="s">
        <v>128</v>
      </c>
      <c r="G115" s="159"/>
      <c r="H115" s="159"/>
      <c r="I115" s="160"/>
    </row>
    <row r="116" spans="3:13" ht="27" customHeight="1" thickBot="1" x14ac:dyDescent="0.3">
      <c r="C116" s="36"/>
      <c r="D116" s="26"/>
      <c r="E116" s="26"/>
      <c r="F116" s="161" t="s">
        <v>132</v>
      </c>
      <c r="G116" s="162"/>
      <c r="H116" s="162"/>
      <c r="I116" s="163"/>
    </row>
    <row r="117" spans="3:13" ht="27" customHeight="1" x14ac:dyDescent="0.3">
      <c r="C117" s="36"/>
      <c r="D117" s="26"/>
      <c r="E117" s="26"/>
      <c r="F117" s="37"/>
      <c r="G117" s="37"/>
      <c r="H117" s="37"/>
      <c r="I117" s="37"/>
      <c r="J117" s="37"/>
      <c r="K117" s="37"/>
      <c r="L117" s="29"/>
    </row>
    <row r="118" spans="3:13" ht="27" customHeight="1" x14ac:dyDescent="0.25">
      <c r="C118" s="167" t="s">
        <v>147</v>
      </c>
      <c r="D118" s="167"/>
      <c r="E118" s="167"/>
      <c r="F118" s="167"/>
      <c r="G118" s="167"/>
      <c r="H118" s="167"/>
      <c r="I118" s="167"/>
      <c r="J118" s="167"/>
      <c r="K118" s="167"/>
      <c r="L118" s="167"/>
    </row>
    <row r="119" spans="3:13" ht="27" customHeight="1" x14ac:dyDescent="0.3">
      <c r="C119" s="36"/>
      <c r="D119" s="26"/>
      <c r="E119" s="26"/>
      <c r="F119" s="37"/>
      <c r="G119" s="37"/>
      <c r="H119" s="37"/>
      <c r="I119" s="37"/>
      <c r="J119" s="37"/>
      <c r="K119" s="37"/>
      <c r="L119" s="29"/>
    </row>
    <row r="120" spans="3:13" ht="27" customHeight="1" x14ac:dyDescent="0.25">
      <c r="C120" s="164" t="s">
        <v>25</v>
      </c>
      <c r="D120" s="164"/>
      <c r="E120" s="164"/>
      <c r="F120" s="164"/>
      <c r="G120" s="164"/>
      <c r="H120" s="164"/>
      <c r="I120" s="164"/>
      <c r="J120" s="164"/>
      <c r="K120" s="164"/>
      <c r="L120" s="165"/>
    </row>
    <row r="121" spans="3:13" ht="27" customHeight="1" x14ac:dyDescent="0.35">
      <c r="C121" s="56" t="s">
        <v>26</v>
      </c>
      <c r="D121" s="57"/>
      <c r="E121" s="57"/>
      <c r="F121" s="58"/>
      <c r="G121" s="26"/>
      <c r="H121" s="26"/>
      <c r="I121" s="26"/>
      <c r="J121" s="26"/>
      <c r="K121" s="27"/>
      <c r="L121" s="29"/>
    </row>
    <row r="122" spans="3:13" ht="27" customHeight="1" x14ac:dyDescent="0.35">
      <c r="C122" s="56" t="s">
        <v>27</v>
      </c>
      <c r="D122" s="57"/>
      <c r="E122" s="57"/>
      <c r="F122" s="58"/>
      <c r="G122" s="26"/>
      <c r="H122" s="26"/>
      <c r="I122" s="26"/>
      <c r="J122" s="26"/>
      <c r="K122" s="27"/>
      <c r="L122" s="29"/>
    </row>
    <row r="123" spans="3:13" ht="27" customHeight="1" x14ac:dyDescent="0.35">
      <c r="C123" s="56" t="s">
        <v>28</v>
      </c>
      <c r="D123" s="57"/>
      <c r="E123" s="57"/>
      <c r="F123" s="58"/>
      <c r="G123" s="26"/>
      <c r="H123" s="26"/>
      <c r="I123" s="26"/>
      <c r="J123" s="26"/>
      <c r="K123" s="27"/>
      <c r="L123" s="29"/>
    </row>
    <row r="124" spans="3:13" ht="27" customHeight="1" x14ac:dyDescent="0.35">
      <c r="C124" s="56" t="s">
        <v>29</v>
      </c>
      <c r="D124" s="57"/>
      <c r="E124" s="57"/>
      <c r="F124" s="58"/>
      <c r="G124" s="26"/>
      <c r="H124" s="26"/>
      <c r="I124" s="26"/>
      <c r="J124" s="26"/>
      <c r="K124" s="27"/>
      <c r="L124" s="29"/>
    </row>
    <row r="125" spans="3:13" ht="27" customHeight="1" x14ac:dyDescent="0.35">
      <c r="C125" s="56" t="s">
        <v>30</v>
      </c>
      <c r="D125" s="57"/>
      <c r="E125" s="57"/>
      <c r="F125" s="58"/>
      <c r="G125" s="26"/>
      <c r="H125" s="26"/>
      <c r="I125" s="26"/>
      <c r="J125" s="26"/>
      <c r="K125" s="27"/>
      <c r="L125" s="29"/>
    </row>
    <row r="126" spans="3:13" ht="27" customHeight="1" x14ac:dyDescent="0.35">
      <c r="C126" s="56" t="s">
        <v>31</v>
      </c>
      <c r="D126" s="57"/>
      <c r="E126" s="57"/>
      <c r="F126" s="58"/>
      <c r="G126" s="26"/>
      <c r="H126" s="26"/>
      <c r="I126" s="26"/>
      <c r="J126" s="26"/>
      <c r="K126" s="27"/>
      <c r="L126" s="29"/>
    </row>
    <row r="127" spans="3:13" ht="27" customHeight="1" x14ac:dyDescent="0.35">
      <c r="C127" s="56" t="s">
        <v>32</v>
      </c>
      <c r="D127" s="57"/>
      <c r="E127" s="57"/>
      <c r="F127" s="58"/>
      <c r="G127" s="26"/>
      <c r="H127" s="26"/>
      <c r="I127" s="26"/>
      <c r="J127" s="26"/>
      <c r="K127" s="27"/>
      <c r="L127" s="29"/>
    </row>
    <row r="128" spans="3:13" ht="50.25" customHeight="1" x14ac:dyDescent="0.35">
      <c r="C128" s="166" t="s">
        <v>131</v>
      </c>
      <c r="D128" s="166"/>
      <c r="E128" s="166"/>
      <c r="F128" s="166"/>
      <c r="G128" s="26"/>
      <c r="H128" s="26"/>
      <c r="I128" s="26"/>
      <c r="J128" s="26"/>
      <c r="K128" s="27"/>
      <c r="L128" s="29"/>
    </row>
    <row r="129" spans="3:12" ht="27" customHeight="1" x14ac:dyDescent="0.35">
      <c r="C129" s="56" t="s">
        <v>129</v>
      </c>
      <c r="D129" s="57"/>
      <c r="E129" s="57"/>
      <c r="F129" s="58"/>
      <c r="G129" s="26"/>
      <c r="H129" s="26"/>
      <c r="I129" s="26"/>
      <c r="J129" s="26"/>
      <c r="K129" s="27"/>
      <c r="L129" s="29"/>
    </row>
    <row r="130" spans="3:12" ht="27" customHeight="1" x14ac:dyDescent="0.35">
      <c r="C130" s="56" t="s">
        <v>130</v>
      </c>
      <c r="D130" s="57"/>
      <c r="E130" s="57"/>
      <c r="F130" s="58"/>
      <c r="G130" s="26"/>
      <c r="H130" s="26"/>
      <c r="I130" s="26"/>
      <c r="J130" s="26"/>
      <c r="K130" s="27"/>
      <c r="L130" s="29"/>
    </row>
    <row r="131" spans="3:12" ht="27" customHeight="1" x14ac:dyDescent="0.35">
      <c r="C131" s="38"/>
      <c r="D131" s="26"/>
      <c r="E131" s="26"/>
      <c r="F131" s="39"/>
      <c r="G131" s="26"/>
      <c r="H131" s="26"/>
      <c r="I131" s="26"/>
      <c r="J131" s="26"/>
      <c r="K131" s="27"/>
      <c r="L131" s="29"/>
    </row>
    <row r="132" spans="3:12" ht="27" customHeight="1" x14ac:dyDescent="0.35">
      <c r="C132" s="38"/>
      <c r="D132" s="26"/>
      <c r="E132" s="26"/>
      <c r="F132" s="39"/>
      <c r="G132" s="26"/>
      <c r="H132" s="26"/>
      <c r="I132" s="26"/>
      <c r="J132" s="26"/>
      <c r="K132" s="27"/>
      <c r="L132" s="29"/>
    </row>
    <row r="133" spans="3:12" ht="27" customHeight="1" x14ac:dyDescent="0.35">
      <c r="C133" s="38"/>
      <c r="D133" s="26"/>
      <c r="E133" s="26"/>
      <c r="F133" s="39"/>
      <c r="G133" s="26"/>
      <c r="H133" s="26"/>
      <c r="I133" s="26"/>
      <c r="J133" s="26"/>
      <c r="K133" s="27"/>
      <c r="L133" s="29"/>
    </row>
    <row r="134" spans="3:12" ht="27" customHeight="1" x14ac:dyDescent="0.35">
      <c r="C134" s="38"/>
      <c r="D134" s="26"/>
      <c r="E134" s="26"/>
      <c r="F134" s="39"/>
      <c r="G134" s="26"/>
      <c r="H134" s="26"/>
      <c r="I134" s="26"/>
      <c r="J134" s="26"/>
      <c r="K134" s="27"/>
      <c r="L134" s="29"/>
    </row>
    <row r="135" spans="3:12" ht="27" customHeight="1" x14ac:dyDescent="0.35">
      <c r="D135" s="26"/>
      <c r="E135" s="26"/>
      <c r="F135" s="26"/>
      <c r="G135" s="26"/>
      <c r="H135" s="26"/>
      <c r="I135" s="26"/>
      <c r="J135" s="26"/>
      <c r="K135" s="27"/>
      <c r="L135" s="29"/>
    </row>
    <row r="136" spans="3:12" ht="27" customHeight="1" x14ac:dyDescent="0.25">
      <c r="C136" s="111" t="s">
        <v>89</v>
      </c>
      <c r="D136" s="111"/>
      <c r="E136" s="111"/>
      <c r="F136" s="111"/>
      <c r="G136" s="111"/>
      <c r="H136" s="111"/>
      <c r="I136" s="111"/>
      <c r="J136" s="111"/>
      <c r="K136" s="111"/>
      <c r="L136" s="112"/>
    </row>
    <row r="137" spans="3:12" ht="27" customHeight="1" thickBot="1" x14ac:dyDescent="0.35">
      <c r="C137" s="59"/>
      <c r="D137" s="59"/>
      <c r="E137" s="57"/>
      <c r="F137" s="57"/>
      <c r="G137" s="59"/>
      <c r="H137" s="59"/>
      <c r="I137" s="59"/>
      <c r="J137" s="59"/>
      <c r="K137" s="59"/>
      <c r="L137" s="60"/>
    </row>
    <row r="138" spans="3:12" ht="27" customHeight="1" x14ac:dyDescent="0.3">
      <c r="C138" s="149" t="s">
        <v>90</v>
      </c>
      <c r="D138" s="150"/>
      <c r="E138" s="61"/>
      <c r="F138" s="62"/>
      <c r="G138" s="151" t="s">
        <v>41</v>
      </c>
      <c r="H138" s="151"/>
      <c r="I138" s="151"/>
      <c r="J138" s="151"/>
      <c r="K138" s="151"/>
      <c r="L138" s="152"/>
    </row>
    <row r="139" spans="3:12" ht="27" customHeight="1" x14ac:dyDescent="0.25">
      <c r="C139" s="63" t="s">
        <v>33</v>
      </c>
      <c r="D139" s="64" t="s">
        <v>44</v>
      </c>
      <c r="E139" s="65"/>
      <c r="F139" s="66"/>
      <c r="G139" s="171" t="s">
        <v>42</v>
      </c>
      <c r="H139" s="171"/>
      <c r="I139" s="171"/>
      <c r="J139" s="171"/>
      <c r="K139" s="171"/>
      <c r="L139" s="172"/>
    </row>
    <row r="140" spans="3:12" ht="27" customHeight="1" x14ac:dyDescent="0.25">
      <c r="C140" s="63" t="s">
        <v>34</v>
      </c>
      <c r="D140" s="64" t="s">
        <v>46</v>
      </c>
      <c r="E140" s="65"/>
      <c r="F140" s="66"/>
      <c r="G140" s="171" t="s">
        <v>38</v>
      </c>
      <c r="H140" s="171"/>
      <c r="I140" s="171"/>
      <c r="J140" s="171"/>
      <c r="K140" s="171"/>
      <c r="L140" s="172"/>
    </row>
    <row r="141" spans="3:12" ht="27" customHeight="1" x14ac:dyDescent="0.25">
      <c r="C141" s="63" t="s">
        <v>35</v>
      </c>
      <c r="D141" s="64" t="s">
        <v>43</v>
      </c>
      <c r="E141" s="65"/>
      <c r="F141" s="66"/>
      <c r="G141" s="171" t="s">
        <v>39</v>
      </c>
      <c r="H141" s="171"/>
      <c r="I141" s="171"/>
      <c r="J141" s="171"/>
      <c r="K141" s="171"/>
      <c r="L141" s="172"/>
    </row>
    <row r="142" spans="3:12" ht="27" customHeight="1" thickBot="1" x14ac:dyDescent="0.3">
      <c r="C142" s="67" t="s">
        <v>36</v>
      </c>
      <c r="D142" s="68" t="s">
        <v>45</v>
      </c>
      <c r="E142" s="69"/>
      <c r="F142" s="70"/>
      <c r="G142" s="173" t="s">
        <v>40</v>
      </c>
      <c r="H142" s="173"/>
      <c r="I142" s="173"/>
      <c r="J142" s="173"/>
      <c r="K142" s="173"/>
      <c r="L142" s="174"/>
    </row>
    <row r="143" spans="3:12" ht="27" customHeight="1" x14ac:dyDescent="0.35">
      <c r="C143" s="57"/>
      <c r="D143" s="57"/>
      <c r="E143" s="57"/>
      <c r="F143" s="57"/>
      <c r="G143" s="57"/>
      <c r="H143" s="57"/>
      <c r="I143" s="57"/>
      <c r="J143" s="57"/>
      <c r="K143" s="71"/>
      <c r="L143" s="60"/>
    </row>
    <row r="144" spans="3:12" ht="27" customHeight="1" thickBot="1" x14ac:dyDescent="0.4">
      <c r="C144" s="57"/>
      <c r="D144" s="57"/>
      <c r="E144" s="57"/>
      <c r="F144" s="57"/>
      <c r="G144" s="57"/>
      <c r="H144" s="57"/>
      <c r="I144" s="57"/>
      <c r="J144" s="57"/>
      <c r="K144" s="71"/>
      <c r="L144" s="60"/>
    </row>
    <row r="145" spans="3:12" ht="27" customHeight="1" x14ac:dyDescent="0.3">
      <c r="C145" s="149" t="s">
        <v>51</v>
      </c>
      <c r="D145" s="150"/>
      <c r="E145" s="61"/>
      <c r="F145" s="62"/>
      <c r="G145" s="151" t="s">
        <v>51</v>
      </c>
      <c r="H145" s="151"/>
      <c r="I145" s="151"/>
      <c r="J145" s="151"/>
      <c r="K145" s="151"/>
      <c r="L145" s="152"/>
    </row>
    <row r="146" spans="3:12" ht="27" customHeight="1" x14ac:dyDescent="0.25">
      <c r="C146" s="63" t="s">
        <v>48</v>
      </c>
      <c r="D146" s="64" t="s">
        <v>49</v>
      </c>
      <c r="E146" s="65"/>
      <c r="F146" s="66"/>
      <c r="G146" s="171" t="s">
        <v>37</v>
      </c>
      <c r="H146" s="171"/>
      <c r="I146" s="171"/>
      <c r="J146" s="171"/>
      <c r="K146" s="171"/>
      <c r="L146" s="172"/>
    </row>
    <row r="147" spans="3:12" ht="27" customHeight="1" x14ac:dyDescent="0.25">
      <c r="C147" s="63" t="s">
        <v>34</v>
      </c>
      <c r="D147" s="64" t="s">
        <v>50</v>
      </c>
      <c r="E147" s="65"/>
      <c r="F147" s="66"/>
      <c r="G147" s="171" t="s">
        <v>38</v>
      </c>
      <c r="H147" s="171"/>
      <c r="I147" s="171"/>
      <c r="J147" s="171"/>
      <c r="K147" s="171"/>
      <c r="L147" s="172"/>
    </row>
    <row r="148" spans="3:12" ht="27" customHeight="1" x14ac:dyDescent="0.25">
      <c r="C148" s="63" t="s">
        <v>35</v>
      </c>
      <c r="D148" s="64" t="s">
        <v>47</v>
      </c>
      <c r="E148" s="65"/>
      <c r="F148" s="66"/>
      <c r="G148" s="171" t="s">
        <v>39</v>
      </c>
      <c r="H148" s="171"/>
      <c r="I148" s="171"/>
      <c r="J148" s="171"/>
      <c r="K148" s="171"/>
      <c r="L148" s="172"/>
    </row>
    <row r="149" spans="3:12" ht="27" customHeight="1" thickBot="1" x14ac:dyDescent="0.3">
      <c r="C149" s="67" t="s">
        <v>36</v>
      </c>
      <c r="D149" s="68"/>
      <c r="E149" s="69"/>
      <c r="F149" s="70"/>
      <c r="G149" s="173" t="s">
        <v>40</v>
      </c>
      <c r="H149" s="173"/>
      <c r="I149" s="173"/>
      <c r="J149" s="173"/>
      <c r="K149" s="173"/>
      <c r="L149" s="174"/>
    </row>
    <row r="150" spans="3:12" x14ac:dyDescent="0.25">
      <c r="C150" s="59"/>
      <c r="D150" s="59"/>
      <c r="E150" s="59"/>
      <c r="F150" s="59"/>
      <c r="G150" s="59"/>
      <c r="H150" s="59"/>
      <c r="I150" s="59"/>
      <c r="J150" s="59"/>
      <c r="K150" s="59"/>
      <c r="L150" s="59"/>
    </row>
    <row r="151" spans="3:12" ht="27" customHeight="1" x14ac:dyDescent="0.25">
      <c r="C151" s="111" t="s">
        <v>93</v>
      </c>
      <c r="D151" s="111"/>
      <c r="E151" s="111"/>
      <c r="F151" s="111"/>
      <c r="G151" s="111"/>
      <c r="H151" s="111"/>
      <c r="I151" s="111"/>
      <c r="J151" s="111"/>
      <c r="K151" s="111"/>
      <c r="L151" s="112"/>
    </row>
    <row r="152" spans="3:12" ht="27" customHeight="1" x14ac:dyDescent="0.25"/>
    <row r="153" spans="3:12" ht="27" customHeight="1" x14ac:dyDescent="0.25">
      <c r="C153" s="40" t="s">
        <v>94</v>
      </c>
      <c r="D153" s="40"/>
      <c r="E153" s="40"/>
      <c r="F153" s="40"/>
      <c r="G153" s="40"/>
      <c r="H153" s="40"/>
      <c r="I153" s="40"/>
      <c r="J153" s="40"/>
      <c r="K153" s="40"/>
      <c r="L153" s="40"/>
    </row>
    <row r="154" spans="3:12" ht="27" customHeight="1" x14ac:dyDescent="0.25">
      <c r="C154" s="41" t="s">
        <v>94</v>
      </c>
      <c r="D154" s="41"/>
      <c r="E154" s="41"/>
      <c r="F154" s="41"/>
      <c r="G154" s="41"/>
      <c r="H154" s="41"/>
      <c r="I154" s="41"/>
      <c r="J154" s="41"/>
      <c r="K154" s="41"/>
      <c r="L154" s="41"/>
    </row>
    <row r="155" spans="3:12" ht="27" customHeight="1" x14ac:dyDescent="0.25">
      <c r="C155" s="41" t="s">
        <v>94</v>
      </c>
      <c r="D155" s="41"/>
      <c r="E155" s="41"/>
      <c r="F155" s="41"/>
      <c r="G155" s="41"/>
      <c r="H155" s="41"/>
      <c r="I155" s="41"/>
      <c r="J155" s="41"/>
      <c r="K155" s="41"/>
      <c r="L155" s="41"/>
    </row>
    <row r="156" spans="3:12" ht="27" customHeight="1" x14ac:dyDescent="0.25">
      <c r="C156" s="41" t="s">
        <v>94</v>
      </c>
      <c r="D156" s="41"/>
      <c r="E156" s="41"/>
      <c r="F156" s="41"/>
      <c r="G156" s="41"/>
      <c r="H156" s="41"/>
      <c r="I156" s="41"/>
      <c r="J156" s="41"/>
      <c r="K156" s="41"/>
      <c r="L156" s="41"/>
    </row>
    <row r="157" spans="3:12" ht="27" customHeight="1" x14ac:dyDescent="0.25">
      <c r="C157" s="41" t="s">
        <v>94</v>
      </c>
      <c r="D157" s="41"/>
      <c r="E157" s="41"/>
      <c r="F157" s="41"/>
      <c r="G157" s="41"/>
      <c r="H157" s="41"/>
      <c r="I157" s="41"/>
      <c r="J157" s="41"/>
      <c r="K157" s="41"/>
      <c r="L157" s="41"/>
    </row>
    <row r="158" spans="3:12" ht="27" customHeight="1" x14ac:dyDescent="0.25">
      <c r="C158" s="41" t="s">
        <v>94</v>
      </c>
      <c r="D158" s="41"/>
      <c r="E158" s="41"/>
      <c r="F158" s="41"/>
      <c r="G158" s="41"/>
      <c r="H158" s="41"/>
      <c r="I158" s="41"/>
      <c r="J158" s="41"/>
      <c r="K158" s="41"/>
      <c r="L158" s="41"/>
    </row>
    <row r="159" spans="3:12" ht="27" customHeight="1" x14ac:dyDescent="0.25">
      <c r="C159" s="41" t="s">
        <v>94</v>
      </c>
      <c r="D159" s="41"/>
      <c r="E159" s="41"/>
      <c r="F159" s="41"/>
      <c r="G159" s="41"/>
      <c r="H159" s="41"/>
      <c r="I159" s="41"/>
      <c r="J159" s="41"/>
      <c r="K159" s="41"/>
      <c r="L159" s="41"/>
    </row>
    <row r="160" spans="3:12" ht="27" customHeight="1" x14ac:dyDescent="0.25">
      <c r="C160" s="41" t="s">
        <v>94</v>
      </c>
      <c r="D160" s="41"/>
      <c r="E160" s="41"/>
      <c r="F160" s="41"/>
      <c r="G160" s="41"/>
      <c r="H160" s="41"/>
      <c r="I160" s="41"/>
      <c r="J160" s="41"/>
      <c r="K160" s="41"/>
      <c r="L160" s="41"/>
    </row>
    <row r="161" spans="3:12" ht="27" customHeight="1" x14ac:dyDescent="0.25">
      <c r="C161" s="41" t="s">
        <v>94</v>
      </c>
      <c r="D161" s="41"/>
      <c r="E161" s="41"/>
      <c r="F161" s="41"/>
      <c r="G161" s="41"/>
      <c r="H161" s="41"/>
      <c r="I161" s="41"/>
      <c r="J161" s="41"/>
      <c r="K161" s="41"/>
      <c r="L161" s="41"/>
    </row>
    <row r="162" spans="3:12" ht="27" customHeight="1" x14ac:dyDescent="0.25">
      <c r="C162" s="41" t="s">
        <v>94</v>
      </c>
      <c r="D162" s="41"/>
      <c r="E162" s="41"/>
      <c r="F162" s="41"/>
      <c r="G162" s="41"/>
      <c r="H162" s="41"/>
      <c r="I162" s="41"/>
      <c r="J162" s="41"/>
      <c r="K162" s="41"/>
      <c r="L162" s="41"/>
    </row>
    <row r="163" spans="3:12" ht="27" customHeight="1" x14ac:dyDescent="0.25">
      <c r="C163" s="41" t="s">
        <v>94</v>
      </c>
      <c r="D163" s="41"/>
      <c r="E163" s="41"/>
      <c r="F163" s="41"/>
      <c r="G163" s="41"/>
      <c r="H163" s="41"/>
      <c r="I163" s="41"/>
      <c r="J163" s="41"/>
      <c r="K163" s="41"/>
      <c r="L163" s="41"/>
    </row>
    <row r="164" spans="3:12" ht="27" customHeight="1" x14ac:dyDescent="0.25">
      <c r="C164" s="41" t="s">
        <v>94</v>
      </c>
      <c r="D164" s="41"/>
      <c r="E164" s="41"/>
      <c r="F164" s="41"/>
      <c r="G164" s="41"/>
      <c r="H164" s="41"/>
      <c r="I164" s="41"/>
      <c r="J164" s="41"/>
      <c r="K164" s="41"/>
      <c r="L164" s="41"/>
    </row>
    <row r="165" spans="3:12" ht="27" customHeight="1" thickBot="1" x14ac:dyDescent="0.3"/>
    <row r="166" spans="3:12" ht="27" customHeight="1" thickBot="1" x14ac:dyDescent="0.3">
      <c r="C166" s="168" t="s">
        <v>91</v>
      </c>
      <c r="D166" s="169"/>
      <c r="G166" s="168" t="s">
        <v>92</v>
      </c>
      <c r="H166" s="170"/>
      <c r="I166" s="170"/>
      <c r="J166" s="170"/>
      <c r="K166" s="170"/>
      <c r="L166" s="169"/>
    </row>
    <row r="167" spans="3:12" ht="27" customHeight="1" x14ac:dyDescent="0.25"/>
    <row r="168" spans="3:12" ht="27" customHeight="1" x14ac:dyDescent="0.25"/>
    <row r="169" spans="3:12" ht="27" customHeight="1" x14ac:dyDescent="0.25"/>
    <row r="170" spans="3:12" ht="27" customHeight="1" x14ac:dyDescent="0.25"/>
    <row r="171" spans="3:12" ht="27" customHeight="1" x14ac:dyDescent="0.25"/>
    <row r="172" spans="3:12" ht="27" customHeight="1" x14ac:dyDescent="0.25"/>
    <row r="173" spans="3:12" ht="27" customHeight="1" x14ac:dyDescent="0.25"/>
    <row r="174" spans="3:12" ht="27" customHeight="1" x14ac:dyDescent="0.25"/>
    <row r="175" spans="3:12" ht="27" customHeight="1" x14ac:dyDescent="0.25"/>
    <row r="176" spans="3:12" ht="27" customHeight="1" x14ac:dyDescent="0.25"/>
    <row r="177" spans="3:11" ht="27" customHeight="1" x14ac:dyDescent="0.25"/>
    <row r="178" spans="3:11" ht="27" customHeight="1" x14ac:dyDescent="0.25"/>
    <row r="179" spans="3:11" ht="27" customHeight="1" x14ac:dyDescent="0.25"/>
    <row r="180" spans="3:11" ht="27" customHeight="1" x14ac:dyDescent="0.25"/>
    <row r="181" spans="3:11" ht="27" customHeight="1" x14ac:dyDescent="0.25"/>
    <row r="183" spans="3:11" x14ac:dyDescent="0.25">
      <c r="C183" s="26"/>
      <c r="D183" s="26"/>
      <c r="E183" s="26"/>
      <c r="F183" s="26"/>
      <c r="G183" s="26"/>
      <c r="H183" s="26"/>
      <c r="I183" s="26"/>
      <c r="J183" s="26"/>
      <c r="K183" s="15"/>
    </row>
  </sheetData>
  <sheetProtection selectLockedCells="1"/>
  <mergeCells count="74">
    <mergeCell ref="C166:D166"/>
    <mergeCell ref="G166:L166"/>
    <mergeCell ref="G139:L139"/>
    <mergeCell ref="G140:L140"/>
    <mergeCell ref="G141:L141"/>
    <mergeCell ref="G142:L142"/>
    <mergeCell ref="C145:D145"/>
    <mergeCell ref="G145:L145"/>
    <mergeCell ref="G146:L146"/>
    <mergeCell ref="G147:L147"/>
    <mergeCell ref="G148:L148"/>
    <mergeCell ref="G149:L149"/>
    <mergeCell ref="C151:L151"/>
    <mergeCell ref="C118:L118"/>
    <mergeCell ref="C120:L120"/>
    <mergeCell ref="C128:F128"/>
    <mergeCell ref="C136:L136"/>
    <mergeCell ref="C138:D138"/>
    <mergeCell ref="G138:L138"/>
    <mergeCell ref="F116:I116"/>
    <mergeCell ref="C106:D106"/>
    <mergeCell ref="F106:J106"/>
    <mergeCell ref="F107:J107"/>
    <mergeCell ref="F108:J108"/>
    <mergeCell ref="F110:I110"/>
    <mergeCell ref="F111:G111"/>
    <mergeCell ref="F112:G112"/>
    <mergeCell ref="H112:I112"/>
    <mergeCell ref="F113:G113"/>
    <mergeCell ref="H113:I113"/>
    <mergeCell ref="F115:I115"/>
    <mergeCell ref="F105:J105"/>
    <mergeCell ref="D88:F88"/>
    <mergeCell ref="D89:F89"/>
    <mergeCell ref="D90:F90"/>
    <mergeCell ref="D91:F91"/>
    <mergeCell ref="D92:F92"/>
    <mergeCell ref="D93:F93"/>
    <mergeCell ref="D94:F94"/>
    <mergeCell ref="D95:F95"/>
    <mergeCell ref="D96:F96"/>
    <mergeCell ref="D97:F97"/>
    <mergeCell ref="D98:F98"/>
    <mergeCell ref="D87:F87"/>
    <mergeCell ref="C46:L46"/>
    <mergeCell ref="C58:L58"/>
    <mergeCell ref="C69:L69"/>
    <mergeCell ref="C82:L82"/>
    <mergeCell ref="D83:F83"/>
    <mergeCell ref="D84:F84"/>
    <mergeCell ref="D85:F85"/>
    <mergeCell ref="D86:F86"/>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38">
      <formula1>0</formula1>
      <formula2>48</formula2>
    </dataValidation>
    <dataValidation type="whole" allowBlank="1" showInputMessage="1" showErrorMessage="1" sqref="I48:I50 I60 I71">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9393"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9394"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9395"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9396"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9397"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9398"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9399"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9400"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9401"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9402" r:id="rId13" name="Check Box 10">
              <controlPr defaultSize="0" autoFill="0" autoLine="0" autoPict="0">
                <anchor moveWithCells="1">
                  <from>
                    <xdr:col>6</xdr:col>
                    <xdr:colOff>685800</xdr:colOff>
                    <xdr:row>105</xdr:row>
                    <xdr:rowOff>28575</xdr:rowOff>
                  </from>
                  <to>
                    <xdr:col>8</xdr:col>
                    <xdr:colOff>190500</xdr:colOff>
                    <xdr:row>105</xdr:row>
                    <xdr:rowOff>285750</xdr:rowOff>
                  </to>
                </anchor>
              </controlPr>
            </control>
          </mc:Choice>
        </mc:AlternateContent>
        <mc:AlternateContent xmlns:mc="http://schemas.openxmlformats.org/markup-compatibility/2006">
          <mc:Choice Requires="x14">
            <control shapeId="59403" r:id="rId14" name="Check Box 11">
              <controlPr defaultSize="0" autoFill="0" autoLine="0" autoPict="0">
                <anchor moveWithCells="1">
                  <from>
                    <xdr:col>5</xdr:col>
                    <xdr:colOff>1276350</xdr:colOff>
                    <xdr:row>105</xdr:row>
                    <xdr:rowOff>323850</xdr:rowOff>
                  </from>
                  <to>
                    <xdr:col>8</xdr:col>
                    <xdr:colOff>695325</xdr:colOff>
                    <xdr:row>106</xdr:row>
                    <xdr:rowOff>323850</xdr:rowOff>
                  </to>
                </anchor>
              </controlPr>
            </control>
          </mc:Choice>
        </mc:AlternateContent>
        <mc:AlternateContent xmlns:mc="http://schemas.openxmlformats.org/markup-compatibility/2006">
          <mc:Choice Requires="x14">
            <control shapeId="59404" r:id="rId15" name="Check Box 12">
              <controlPr defaultSize="0" autoFill="0" autoLine="0" autoPict="0">
                <anchor moveWithCells="1">
                  <from>
                    <xdr:col>6</xdr:col>
                    <xdr:colOff>295275</xdr:colOff>
                    <xdr:row>106</xdr:row>
                    <xdr:rowOff>333375</xdr:rowOff>
                  </from>
                  <to>
                    <xdr:col>8</xdr:col>
                    <xdr:colOff>9525</xdr:colOff>
                    <xdr:row>108</xdr:row>
                    <xdr:rowOff>0</xdr:rowOff>
                  </to>
                </anchor>
              </controlPr>
            </control>
          </mc:Choice>
        </mc:AlternateContent>
        <mc:AlternateContent xmlns:mc="http://schemas.openxmlformats.org/markup-compatibility/2006">
          <mc:Choice Requires="x14">
            <control shapeId="59405" r:id="rId16" name="Check Box 13">
              <controlPr defaultSize="0" autoFill="0" autoLine="0" autoPict="0">
                <anchor moveWithCells="1">
                  <from>
                    <xdr:col>5</xdr:col>
                    <xdr:colOff>171450</xdr:colOff>
                    <xdr:row>111</xdr:row>
                    <xdr:rowOff>57150</xdr:rowOff>
                  </from>
                  <to>
                    <xdr:col>6</xdr:col>
                    <xdr:colOff>1019175</xdr:colOff>
                    <xdr:row>111</xdr:row>
                    <xdr:rowOff>314325</xdr:rowOff>
                  </to>
                </anchor>
              </controlPr>
            </control>
          </mc:Choice>
        </mc:AlternateContent>
        <mc:AlternateContent xmlns:mc="http://schemas.openxmlformats.org/markup-compatibility/2006">
          <mc:Choice Requires="x14">
            <control shapeId="59406" r:id="rId17" name="Check Box 14">
              <controlPr defaultSize="0" autoFill="0" autoLine="0" autoPict="0">
                <anchor moveWithCells="1">
                  <from>
                    <xdr:col>5</xdr:col>
                    <xdr:colOff>952500</xdr:colOff>
                    <xdr:row>110</xdr:row>
                    <xdr:rowOff>28575</xdr:rowOff>
                  </from>
                  <to>
                    <xdr:col>6</xdr:col>
                    <xdr:colOff>419100</xdr:colOff>
                    <xdr:row>110</xdr:row>
                    <xdr:rowOff>276225</xdr:rowOff>
                  </to>
                </anchor>
              </controlPr>
            </control>
          </mc:Choice>
        </mc:AlternateContent>
        <mc:AlternateContent xmlns:mc="http://schemas.openxmlformats.org/markup-compatibility/2006">
          <mc:Choice Requires="x14">
            <control shapeId="59407" r:id="rId18" name="Check Box 15">
              <controlPr defaultSize="0" autoFill="0" autoLine="0" autoPict="0">
                <anchor moveWithCells="1">
                  <from>
                    <xdr:col>5</xdr:col>
                    <xdr:colOff>180975</xdr:colOff>
                    <xdr:row>112</xdr:row>
                    <xdr:rowOff>38100</xdr:rowOff>
                  </from>
                  <to>
                    <xdr:col>6</xdr:col>
                    <xdr:colOff>990600</xdr:colOff>
                    <xdr:row>112</xdr:row>
                    <xdr:rowOff>295275</xdr:rowOff>
                  </to>
                </anchor>
              </controlPr>
            </control>
          </mc:Choice>
        </mc:AlternateContent>
        <mc:AlternateContent xmlns:mc="http://schemas.openxmlformats.org/markup-compatibility/2006">
          <mc:Choice Requires="x14">
            <control shapeId="59408" r:id="rId19" name="Check Box 16">
              <controlPr defaultSize="0" autoFill="0" autoLine="0" autoPict="0">
                <anchor moveWithCells="1">
                  <from>
                    <xdr:col>7</xdr:col>
                    <xdr:colOff>257175</xdr:colOff>
                    <xdr:row>111</xdr:row>
                    <xdr:rowOff>57150</xdr:rowOff>
                  </from>
                  <to>
                    <xdr:col>8</xdr:col>
                    <xdr:colOff>962025</xdr:colOff>
                    <xdr:row>111</xdr:row>
                    <xdr:rowOff>285750</xdr:rowOff>
                  </to>
                </anchor>
              </controlPr>
            </control>
          </mc:Choice>
        </mc:AlternateContent>
        <mc:AlternateContent xmlns:mc="http://schemas.openxmlformats.org/markup-compatibility/2006">
          <mc:Choice Requires="x14">
            <control shapeId="59409" r:id="rId20" name="Check Box 17">
              <controlPr defaultSize="0" autoFill="0" autoLine="0" autoPict="0">
                <anchor moveWithCells="1">
                  <from>
                    <xdr:col>7</xdr:col>
                    <xdr:colOff>866775</xdr:colOff>
                    <xdr:row>112</xdr:row>
                    <xdr:rowOff>38100</xdr:rowOff>
                  </from>
                  <to>
                    <xdr:col>8</xdr:col>
                    <xdr:colOff>476250</xdr:colOff>
                    <xdr:row>112</xdr:row>
                    <xdr:rowOff>295275</xdr:rowOff>
                  </to>
                </anchor>
              </controlPr>
            </control>
          </mc:Choice>
        </mc:AlternateContent>
        <mc:AlternateContent xmlns:mc="http://schemas.openxmlformats.org/markup-compatibility/2006">
          <mc:Choice Requires="x14">
            <control shapeId="59410" r:id="rId21" name="Check Box 18">
              <controlPr defaultSize="0" autoFill="0" autoLine="0" autoPict="0">
                <anchor moveWithCells="1">
                  <from>
                    <xdr:col>10</xdr:col>
                    <xdr:colOff>1933575</xdr:colOff>
                    <xdr:row>28</xdr:row>
                    <xdr:rowOff>323850</xdr:rowOff>
                  </from>
                  <to>
                    <xdr:col>11</xdr:col>
                    <xdr:colOff>1562100</xdr:colOff>
                    <xdr:row>29</xdr:row>
                    <xdr:rowOff>266700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L97"/>
  <sheetViews>
    <sheetView tabSelected="1" zoomScale="70" zoomScaleNormal="70" workbookViewId="0">
      <selection activeCell="G5" sqref="G4:G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78">
        <v>46108</v>
      </c>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t="s">
        <v>349</v>
      </c>
      <c r="E22" s="118"/>
      <c r="F22" s="118"/>
      <c r="G22" s="118"/>
      <c r="H22" s="118"/>
      <c r="I22" s="118"/>
      <c r="J22" s="118"/>
      <c r="K22" s="118"/>
      <c r="L22" s="119"/>
    </row>
    <row r="23" spans="2:12" ht="27" customHeight="1" thickBot="1" x14ac:dyDescent="0.3">
      <c r="B23" s="99"/>
      <c r="C23" s="48" t="s">
        <v>102</v>
      </c>
      <c r="D23" s="120" t="s">
        <v>350</v>
      </c>
      <c r="E23" s="121"/>
      <c r="F23" s="121"/>
      <c r="G23" s="121"/>
      <c r="H23" s="121"/>
      <c r="I23" s="121"/>
      <c r="J23" s="121"/>
      <c r="K23" s="121"/>
      <c r="L23" s="122"/>
    </row>
    <row r="24" spans="2:12" ht="27" customHeight="1" thickBot="1" x14ac:dyDescent="0.3">
      <c r="B24" s="99"/>
      <c r="C24" s="49" t="s">
        <v>103</v>
      </c>
      <c r="D24" s="177" t="s">
        <v>351</v>
      </c>
      <c r="E24" s="178"/>
      <c r="F24" s="178"/>
      <c r="G24" s="178"/>
      <c r="H24" s="178"/>
      <c r="I24" s="178"/>
      <c r="J24" s="178"/>
      <c r="K24" s="178"/>
      <c r="L24" s="179"/>
    </row>
    <row r="25" spans="2:12" ht="27" customHeight="1" thickBot="1" x14ac:dyDescent="0.3">
      <c r="B25" s="99"/>
      <c r="C25" s="47" t="s">
        <v>104</v>
      </c>
      <c r="D25" s="120" t="s">
        <v>352</v>
      </c>
      <c r="E25" s="121"/>
      <c r="F25" s="121"/>
      <c r="G25" s="121"/>
      <c r="H25" s="121"/>
      <c r="I25" s="121"/>
      <c r="J25" s="121"/>
      <c r="K25" s="121"/>
      <c r="L25" s="122"/>
    </row>
    <row r="26" spans="2:12" ht="27" customHeight="1" thickBot="1" x14ac:dyDescent="0.3">
      <c r="B26" s="99"/>
      <c r="C26" s="50" t="s">
        <v>105</v>
      </c>
      <c r="D26" s="126" t="s">
        <v>353</v>
      </c>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354</v>
      </c>
      <c r="D29" s="128">
        <v>2478</v>
      </c>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t="s">
        <v>301</v>
      </c>
      <c r="D36" s="18" t="s">
        <v>302</v>
      </c>
      <c r="E36" s="19"/>
      <c r="F36" s="17"/>
      <c r="G36" s="19">
        <v>612</v>
      </c>
      <c r="H36" s="20">
        <v>18405.900000000001</v>
      </c>
      <c r="I36" s="45">
        <v>0</v>
      </c>
      <c r="J36" s="52" t="s">
        <v>9</v>
      </c>
      <c r="K36" s="72">
        <f>ROUND(H36*(1-I36/100),2)</f>
        <v>18405.900000000001</v>
      </c>
      <c r="L36" s="73">
        <f t="shared" ref="L36:L39" si="0">K36*G36</f>
        <v>11264410.800000001</v>
      </c>
    </row>
    <row r="37" spans="3:12" ht="27" customHeight="1" x14ac:dyDescent="0.3">
      <c r="C37" s="17" t="s">
        <v>355</v>
      </c>
      <c r="D37" s="18" t="s">
        <v>356</v>
      </c>
      <c r="E37" s="19"/>
      <c r="F37" s="17"/>
      <c r="G37" s="19">
        <v>668</v>
      </c>
      <c r="H37" s="20">
        <v>2676.45</v>
      </c>
      <c r="I37" s="45">
        <v>0</v>
      </c>
      <c r="J37" s="52" t="s">
        <v>9</v>
      </c>
      <c r="K37" s="72">
        <f t="shared" ref="K37:K41" si="1">ROUND(H37*(1-I37/100),2)</f>
        <v>2676.45</v>
      </c>
      <c r="L37" s="73">
        <f t="shared" si="0"/>
        <v>1787868.5999999999</v>
      </c>
    </row>
    <row r="38" spans="3:12" ht="27" customHeight="1" x14ac:dyDescent="0.3">
      <c r="C38" s="17" t="s">
        <v>309</v>
      </c>
      <c r="D38" s="18" t="s">
        <v>310</v>
      </c>
      <c r="E38" s="19"/>
      <c r="F38" s="17"/>
      <c r="G38" s="19">
        <v>328</v>
      </c>
      <c r="H38" s="20">
        <v>10769.25</v>
      </c>
      <c r="I38" s="45">
        <v>0</v>
      </c>
      <c r="J38" s="52" t="s">
        <v>9</v>
      </c>
      <c r="K38" s="72">
        <f t="shared" si="1"/>
        <v>10769.25</v>
      </c>
      <c r="L38" s="73">
        <f t="shared" si="0"/>
        <v>3532314</v>
      </c>
    </row>
    <row r="39" spans="3:12" ht="27" customHeight="1" x14ac:dyDescent="0.3">
      <c r="C39" s="17" t="s">
        <v>240</v>
      </c>
      <c r="D39" s="18" t="s">
        <v>357</v>
      </c>
      <c r="E39" s="19"/>
      <c r="F39" s="17"/>
      <c r="G39" s="19">
        <v>620</v>
      </c>
      <c r="H39" s="20">
        <v>8241.31</v>
      </c>
      <c r="I39" s="45">
        <v>0</v>
      </c>
      <c r="J39" s="52" t="s">
        <v>9</v>
      </c>
      <c r="K39" s="72">
        <f t="shared" si="1"/>
        <v>8241.31</v>
      </c>
      <c r="L39" s="73">
        <f t="shared" si="0"/>
        <v>5109612.1999999993</v>
      </c>
    </row>
    <row r="40" spans="3:12" ht="27" customHeight="1" x14ac:dyDescent="0.3">
      <c r="C40" s="17" t="s">
        <v>312</v>
      </c>
      <c r="D40" s="18" t="s">
        <v>358</v>
      </c>
      <c r="E40" s="19"/>
      <c r="F40" s="17"/>
      <c r="G40" s="19">
        <v>86</v>
      </c>
      <c r="H40" s="20">
        <v>8737.9699999999993</v>
      </c>
      <c r="I40" s="45">
        <v>0</v>
      </c>
      <c r="J40" s="52" t="s">
        <v>9</v>
      </c>
      <c r="K40" s="72">
        <f t="shared" si="1"/>
        <v>8737.9699999999993</v>
      </c>
      <c r="L40" s="73">
        <f>K40*G40</f>
        <v>751465.41999999993</v>
      </c>
    </row>
    <row r="41" spans="3:12" ht="27" customHeight="1" x14ac:dyDescent="0.3">
      <c r="C41" s="17" t="s">
        <v>242</v>
      </c>
      <c r="D41" s="23" t="s">
        <v>359</v>
      </c>
      <c r="E41" s="19"/>
      <c r="F41" s="24"/>
      <c r="G41" s="19">
        <v>165</v>
      </c>
      <c r="H41" s="20">
        <v>9420.18</v>
      </c>
      <c r="I41" s="45">
        <v>0</v>
      </c>
      <c r="J41" s="52" t="s">
        <v>9</v>
      </c>
      <c r="K41" s="72">
        <f t="shared" si="1"/>
        <v>9420.18</v>
      </c>
      <c r="L41" s="73">
        <f>K41*G41</f>
        <v>1554329.7</v>
      </c>
    </row>
    <row r="42" spans="3:12" ht="27" customHeight="1" x14ac:dyDescent="0.35">
      <c r="D42" s="15"/>
      <c r="E42" s="15"/>
      <c r="F42" s="15"/>
      <c r="G42" s="16">
        <f>SUM(G36+G37+G38+G39+G41+G40)</f>
        <v>2479</v>
      </c>
      <c r="H42" s="6"/>
      <c r="I42" s="6"/>
      <c r="J42" s="15"/>
      <c r="K42" s="42" t="s">
        <v>10</v>
      </c>
      <c r="L42" s="74">
        <f>SUM(L36:L41)</f>
        <v>24000000.720000003</v>
      </c>
    </row>
    <row r="43" spans="3:12" ht="27" customHeight="1" x14ac:dyDescent="0.35">
      <c r="C43" s="25" t="s">
        <v>149</v>
      </c>
      <c r="D43" s="15"/>
      <c r="E43" s="15"/>
      <c r="F43" s="15"/>
      <c r="G43" s="15"/>
      <c r="H43" s="15"/>
      <c r="I43" s="15"/>
      <c r="J43" s="15"/>
      <c r="K43" s="42" t="s">
        <v>11</v>
      </c>
      <c r="L43" s="75">
        <f>L42*20/100</f>
        <v>4800000.1440000003</v>
      </c>
    </row>
    <row r="44" spans="3:12" ht="27" customHeight="1" x14ac:dyDescent="0.35">
      <c r="C44" s="26" t="s">
        <v>361</v>
      </c>
      <c r="D44" s="26"/>
      <c r="E44" s="26" t="s">
        <v>362</v>
      </c>
      <c r="K44" s="42" t="s">
        <v>13</v>
      </c>
      <c r="L44" s="74">
        <f>L43+L42</f>
        <v>28800000.864000004</v>
      </c>
    </row>
    <row r="45" spans="3:12" ht="27" customHeight="1" x14ac:dyDescent="0.35">
      <c r="C45" s="26" t="s">
        <v>363</v>
      </c>
      <c r="D45" s="26"/>
      <c r="E45" s="26" t="s">
        <v>364</v>
      </c>
      <c r="K45" s="27"/>
      <c r="L45" s="28"/>
    </row>
    <row r="46" spans="3:12" ht="27" customHeight="1" x14ac:dyDescent="0.35">
      <c r="C46" s="26" t="s">
        <v>365</v>
      </c>
      <c r="D46" s="26"/>
      <c r="E46" s="26" t="s">
        <v>366</v>
      </c>
      <c r="K46" s="27"/>
      <c r="L46" s="28"/>
    </row>
    <row r="47" spans="3:12" ht="27" customHeight="1" thickBot="1" x14ac:dyDescent="0.4">
      <c r="C47" s="26" t="s">
        <v>367</v>
      </c>
      <c r="D47" s="26"/>
      <c r="E47" s="26" t="s">
        <v>370</v>
      </c>
      <c r="K47" s="27"/>
      <c r="L47" s="28"/>
    </row>
    <row r="48" spans="3:12" ht="27" customHeight="1" x14ac:dyDescent="0.35">
      <c r="C48" s="26" t="s">
        <v>369</v>
      </c>
      <c r="D48" s="26"/>
      <c r="F48" s="146" t="s">
        <v>125</v>
      </c>
      <c r="G48" s="147"/>
      <c r="H48" s="147"/>
      <c r="I48" s="147"/>
      <c r="J48" s="148"/>
      <c r="K48" s="27"/>
      <c r="L48" s="28"/>
    </row>
    <row r="49" spans="3:12" ht="27" customHeight="1" x14ac:dyDescent="0.35">
      <c r="C49" s="26" t="s">
        <v>368</v>
      </c>
      <c r="D49" s="26"/>
      <c r="E49" s="26"/>
      <c r="F49" s="143" t="s">
        <v>122</v>
      </c>
      <c r="G49" s="144"/>
      <c r="H49" s="144"/>
      <c r="I49" s="144"/>
      <c r="J49" s="145"/>
      <c r="K49" s="27"/>
      <c r="L49" s="28"/>
    </row>
    <row r="50" spans="3:12" ht="27" customHeight="1" x14ac:dyDescent="0.35">
      <c r="C50" s="26"/>
      <c r="D50" s="26"/>
      <c r="E50" s="26"/>
      <c r="F50" s="143" t="s">
        <v>124</v>
      </c>
      <c r="G50" s="144"/>
      <c r="H50" s="144"/>
      <c r="I50" s="144"/>
      <c r="J50" s="145"/>
      <c r="K50" s="27"/>
      <c r="L50" s="28"/>
    </row>
    <row r="51" spans="3:12" ht="27" customHeight="1" thickBot="1" x14ac:dyDescent="0.4">
      <c r="C51" s="26"/>
      <c r="D51" s="26"/>
      <c r="E51" s="26"/>
      <c r="F51" s="153" t="s">
        <v>123</v>
      </c>
      <c r="G51" s="154"/>
      <c r="H51" s="154"/>
      <c r="I51" s="154"/>
      <c r="J51" s="155"/>
      <c r="K51" s="27"/>
      <c r="L51" s="28"/>
    </row>
    <row r="52" spans="3:12" ht="27" customHeight="1" thickBot="1" x14ac:dyDescent="0.4">
      <c r="C52" s="26"/>
      <c r="D52" s="26"/>
      <c r="E52" s="26"/>
      <c r="F52" s="26"/>
      <c r="G52" s="26"/>
      <c r="H52" s="26"/>
      <c r="I52" s="26"/>
      <c r="J52" s="26"/>
      <c r="K52" s="27"/>
      <c r="L52" s="28"/>
    </row>
    <row r="53" spans="3:12" ht="27" customHeight="1" thickBot="1" x14ac:dyDescent="0.4">
      <c r="C53" s="26"/>
      <c r="D53" s="26"/>
      <c r="E53" s="26"/>
      <c r="F53" s="161" t="s">
        <v>126</v>
      </c>
      <c r="G53" s="162"/>
      <c r="H53" s="162"/>
      <c r="I53" s="163"/>
      <c r="J53" s="26"/>
      <c r="K53" s="27"/>
      <c r="L53" s="29"/>
    </row>
    <row r="54" spans="3:12" ht="27" customHeight="1" thickBot="1" x14ac:dyDescent="0.4">
      <c r="C54" s="26"/>
      <c r="D54" s="26"/>
      <c r="E54" s="26"/>
      <c r="F54" s="156" t="s">
        <v>360</v>
      </c>
      <c r="G54" s="157"/>
      <c r="H54" s="157"/>
      <c r="I54" s="184"/>
      <c r="K54" s="27"/>
      <c r="L54" s="29"/>
    </row>
    <row r="55" spans="3:12" ht="27" customHeight="1" thickBot="1" x14ac:dyDescent="0.35">
      <c r="C55" s="141" t="s">
        <v>80</v>
      </c>
      <c r="D55" s="142"/>
      <c r="E55" s="26"/>
      <c r="F55" s="143"/>
      <c r="G55" s="144"/>
      <c r="H55" s="144"/>
      <c r="I55" s="145"/>
      <c r="L55" s="30"/>
    </row>
    <row r="56" spans="3:12" ht="27" customHeight="1" x14ac:dyDescent="0.25">
      <c r="C56" s="53" t="s">
        <v>81</v>
      </c>
      <c r="D56" s="31">
        <f>L44</f>
        <v>28800000.864000004</v>
      </c>
      <c r="E56" s="26"/>
      <c r="F56" s="143"/>
      <c r="G56" s="144"/>
      <c r="H56" s="144"/>
      <c r="I56" s="145"/>
    </row>
    <row r="57" spans="3:12" ht="27" customHeight="1" thickBot="1" x14ac:dyDescent="0.4">
      <c r="C57" s="55" t="s">
        <v>87</v>
      </c>
      <c r="D57" s="35">
        <f>SUM(D56:D56)</f>
        <v>28800000.864000004</v>
      </c>
      <c r="E57" s="26"/>
      <c r="F57" s="153"/>
      <c r="G57" s="154"/>
      <c r="H57" s="154"/>
      <c r="I57" s="155"/>
    </row>
    <row r="58" spans="3:12" ht="27" customHeight="1" thickBot="1" x14ac:dyDescent="0.3">
      <c r="C58" s="36"/>
      <c r="D58" s="26"/>
      <c r="E58" s="26"/>
      <c r="F58" s="158" t="s">
        <v>128</v>
      </c>
      <c r="G58" s="159"/>
      <c r="H58" s="159"/>
      <c r="I58" s="160"/>
    </row>
    <row r="59" spans="3:12" ht="27" customHeight="1" thickBot="1" x14ac:dyDescent="0.35">
      <c r="C59" s="36"/>
      <c r="D59" s="26"/>
      <c r="E59" s="26"/>
      <c r="F59" s="161" t="s">
        <v>132</v>
      </c>
      <c r="G59" s="162"/>
      <c r="H59" s="162"/>
      <c r="I59" s="163"/>
      <c r="J59" s="37"/>
      <c r="K59" s="37"/>
      <c r="L59" s="29"/>
    </row>
    <row r="60" spans="3:12" ht="27" customHeight="1" x14ac:dyDescent="0.25">
      <c r="C60" s="167" t="s">
        <v>147</v>
      </c>
      <c r="D60" s="167"/>
      <c r="E60" s="167"/>
      <c r="F60" s="167"/>
      <c r="G60" s="167"/>
      <c r="H60" s="167"/>
      <c r="I60" s="167"/>
      <c r="J60" s="167"/>
      <c r="K60" s="167"/>
      <c r="L60" s="167"/>
    </row>
    <row r="61" spans="3:12" ht="27" customHeight="1" x14ac:dyDescent="0.3">
      <c r="C61" s="36"/>
      <c r="D61" s="26"/>
      <c r="E61" s="26"/>
      <c r="F61" s="37"/>
      <c r="G61" s="37"/>
      <c r="H61" s="37"/>
      <c r="I61" s="37"/>
      <c r="J61" s="37"/>
      <c r="K61" s="37"/>
      <c r="L61" s="29"/>
    </row>
    <row r="62" spans="3:12" ht="27" customHeight="1" x14ac:dyDescent="0.25">
      <c r="C62" s="164" t="s">
        <v>25</v>
      </c>
      <c r="D62" s="164"/>
      <c r="E62" s="164"/>
      <c r="F62" s="164"/>
      <c r="G62" s="164"/>
      <c r="H62" s="164"/>
      <c r="I62" s="164"/>
      <c r="J62" s="164"/>
      <c r="K62" s="164"/>
      <c r="L62" s="165"/>
    </row>
    <row r="63" spans="3:12" ht="27" customHeight="1" x14ac:dyDescent="0.35">
      <c r="C63" s="56" t="s">
        <v>26</v>
      </c>
      <c r="D63" s="57"/>
      <c r="E63" s="57"/>
      <c r="F63" s="58"/>
      <c r="G63" s="26"/>
      <c r="H63" s="26"/>
      <c r="I63" s="26"/>
      <c r="J63" s="26"/>
      <c r="K63" s="27"/>
      <c r="L63" s="29"/>
    </row>
    <row r="64" spans="3:12" ht="27" customHeight="1" x14ac:dyDescent="0.35">
      <c r="C64" s="56" t="s">
        <v>27</v>
      </c>
      <c r="D64" s="57"/>
      <c r="E64" s="57"/>
      <c r="F64" s="58"/>
      <c r="G64" s="26"/>
      <c r="H64" s="26"/>
      <c r="I64" s="26"/>
      <c r="J64" s="26"/>
      <c r="K64" s="27"/>
      <c r="L64" s="29"/>
    </row>
    <row r="65" spans="3:12" ht="27" customHeight="1" x14ac:dyDescent="0.35">
      <c r="C65" s="56" t="s">
        <v>28</v>
      </c>
      <c r="D65" s="57"/>
      <c r="E65" s="57"/>
      <c r="F65" s="58"/>
      <c r="G65" s="26"/>
      <c r="H65" s="26"/>
      <c r="I65" s="26"/>
      <c r="J65" s="26"/>
      <c r="K65" s="27"/>
      <c r="L65" s="29"/>
    </row>
    <row r="66" spans="3:12" ht="27" customHeight="1" x14ac:dyDescent="0.35">
      <c r="C66" s="56" t="s">
        <v>29</v>
      </c>
      <c r="D66" s="57"/>
      <c r="E66" s="57"/>
      <c r="F66" s="58"/>
      <c r="G66" s="26"/>
      <c r="H66" s="26"/>
      <c r="I66" s="26"/>
      <c r="J66" s="26"/>
      <c r="K66" s="27"/>
      <c r="L66" s="29"/>
    </row>
    <row r="67" spans="3:12" ht="27" customHeight="1" x14ac:dyDescent="0.35">
      <c r="C67" s="56" t="s">
        <v>30</v>
      </c>
      <c r="D67" s="57"/>
      <c r="E67" s="57"/>
      <c r="F67" s="58"/>
      <c r="G67" s="26"/>
      <c r="H67" s="26"/>
      <c r="I67" s="26"/>
      <c r="J67" s="26"/>
      <c r="K67" s="27"/>
      <c r="L67" s="29"/>
    </row>
    <row r="68" spans="3:12" ht="27" customHeight="1" x14ac:dyDescent="0.35">
      <c r="C68" s="56" t="s">
        <v>31</v>
      </c>
      <c r="D68" s="57"/>
      <c r="E68" s="57"/>
      <c r="F68" s="58"/>
      <c r="G68" s="26"/>
      <c r="H68" s="26"/>
      <c r="I68" s="26"/>
      <c r="J68" s="26"/>
      <c r="K68" s="27"/>
      <c r="L68" s="29"/>
    </row>
    <row r="69" spans="3:12" ht="27" customHeight="1" x14ac:dyDescent="0.35">
      <c r="C69" s="56" t="s">
        <v>32</v>
      </c>
      <c r="D69" s="57"/>
      <c r="E69" s="57"/>
      <c r="F69" s="58"/>
      <c r="G69" s="26"/>
      <c r="H69" s="26"/>
      <c r="I69" s="26"/>
      <c r="J69" s="26"/>
      <c r="K69" s="27"/>
      <c r="L69" s="29"/>
    </row>
    <row r="70" spans="3:12" ht="50.25" customHeight="1" x14ac:dyDescent="0.35">
      <c r="C70" s="166" t="s">
        <v>131</v>
      </c>
      <c r="D70" s="166"/>
      <c r="E70" s="166"/>
      <c r="F70" s="166"/>
      <c r="G70" s="26"/>
      <c r="H70" s="26"/>
      <c r="I70" s="26"/>
      <c r="J70" s="26"/>
      <c r="K70" s="27"/>
      <c r="L70" s="29"/>
    </row>
    <row r="71" spans="3:12" ht="27" customHeight="1" x14ac:dyDescent="0.35">
      <c r="C71" s="56" t="s">
        <v>129</v>
      </c>
      <c r="D71" s="57"/>
      <c r="E71" s="57"/>
      <c r="F71" s="58"/>
      <c r="G71" s="26"/>
      <c r="H71" s="26"/>
      <c r="I71" s="26"/>
      <c r="J71" s="26"/>
      <c r="K71" s="27"/>
      <c r="L71" s="29"/>
    </row>
    <row r="72" spans="3:12" ht="27" customHeight="1" x14ac:dyDescent="0.35">
      <c r="C72" s="56" t="s">
        <v>371</v>
      </c>
      <c r="D72" s="57"/>
      <c r="E72" s="57"/>
      <c r="F72" s="58"/>
      <c r="G72" s="26"/>
      <c r="H72" s="26"/>
      <c r="I72" s="26"/>
      <c r="J72" s="26"/>
      <c r="K72" s="27"/>
      <c r="L72" s="29"/>
    </row>
    <row r="73" spans="3:12" ht="27" customHeight="1" x14ac:dyDescent="0.25">
      <c r="C73" s="111" t="s">
        <v>89</v>
      </c>
      <c r="D73" s="111"/>
      <c r="E73" s="111"/>
      <c r="F73" s="111"/>
      <c r="G73" s="111"/>
      <c r="H73" s="111"/>
      <c r="I73" s="111"/>
      <c r="J73" s="111"/>
      <c r="K73" s="111"/>
      <c r="L73" s="112"/>
    </row>
    <row r="74" spans="3:12" ht="27" customHeight="1" thickBot="1" x14ac:dyDescent="0.35">
      <c r="C74" s="59"/>
      <c r="D74" s="59"/>
      <c r="E74" s="57"/>
      <c r="F74" s="57"/>
      <c r="G74" s="59"/>
      <c r="H74" s="59"/>
      <c r="I74" s="59"/>
      <c r="J74" s="59"/>
      <c r="K74" s="59"/>
      <c r="L74" s="60"/>
    </row>
    <row r="75" spans="3:12" ht="27" customHeight="1" x14ac:dyDescent="0.3">
      <c r="C75" s="149" t="s">
        <v>51</v>
      </c>
      <c r="D75" s="150"/>
      <c r="E75" s="61"/>
      <c r="F75" s="62"/>
      <c r="G75" s="151" t="s">
        <v>51</v>
      </c>
      <c r="H75" s="151"/>
      <c r="I75" s="151"/>
      <c r="J75" s="151"/>
      <c r="K75" s="151"/>
      <c r="L75" s="152"/>
    </row>
    <row r="76" spans="3:12" ht="27" customHeight="1" x14ac:dyDescent="0.25">
      <c r="C76" s="63" t="s">
        <v>48</v>
      </c>
      <c r="D76" s="64" t="s">
        <v>49</v>
      </c>
      <c r="E76" s="65"/>
      <c r="F76" s="66"/>
      <c r="G76" s="171" t="s">
        <v>37</v>
      </c>
      <c r="H76" s="171"/>
      <c r="I76" s="171"/>
      <c r="J76" s="171"/>
      <c r="K76" s="171"/>
      <c r="L76" s="172"/>
    </row>
    <row r="77" spans="3:12" ht="27" customHeight="1" x14ac:dyDescent="0.25">
      <c r="C77" s="63" t="s">
        <v>34</v>
      </c>
      <c r="D77" s="64" t="s">
        <v>50</v>
      </c>
      <c r="E77" s="65"/>
      <c r="F77" s="66"/>
      <c r="G77" s="171" t="s">
        <v>38</v>
      </c>
      <c r="H77" s="171"/>
      <c r="I77" s="171"/>
      <c r="J77" s="171"/>
      <c r="K77" s="171"/>
      <c r="L77" s="172"/>
    </row>
    <row r="78" spans="3:12" ht="27" customHeight="1" x14ac:dyDescent="0.25">
      <c r="C78" s="63" t="s">
        <v>35</v>
      </c>
      <c r="D78" s="64" t="s">
        <v>47</v>
      </c>
      <c r="E78" s="65"/>
      <c r="F78" s="66"/>
      <c r="G78" s="171" t="s">
        <v>39</v>
      </c>
      <c r="H78" s="171"/>
      <c r="I78" s="171"/>
      <c r="J78" s="171"/>
      <c r="K78" s="171"/>
      <c r="L78" s="172"/>
    </row>
    <row r="79" spans="3:12" ht="27" customHeight="1" thickBot="1" x14ac:dyDescent="0.3">
      <c r="C79" s="67" t="s">
        <v>36</v>
      </c>
      <c r="D79" s="68"/>
      <c r="E79" s="69"/>
      <c r="F79" s="70"/>
      <c r="G79" s="173" t="s">
        <v>40</v>
      </c>
      <c r="H79" s="173"/>
      <c r="I79" s="173"/>
      <c r="J79" s="173"/>
      <c r="K79" s="173"/>
      <c r="L79" s="174"/>
    </row>
    <row r="80" spans="3:12" x14ac:dyDescent="0.25">
      <c r="C80" s="59"/>
      <c r="D80" s="59"/>
      <c r="E80" s="59"/>
      <c r="F80" s="59"/>
      <c r="G80" s="59"/>
      <c r="H80" s="59"/>
      <c r="I80" s="59"/>
      <c r="J80" s="59"/>
      <c r="K80" s="59"/>
      <c r="L80" s="59"/>
    </row>
    <row r="81" spans="3:12" ht="27" customHeight="1" x14ac:dyDescent="0.25">
      <c r="C81" s="111" t="s">
        <v>93</v>
      </c>
      <c r="D81" s="111"/>
      <c r="E81" s="111"/>
      <c r="F81" s="111"/>
      <c r="G81" s="111"/>
      <c r="H81" s="111"/>
      <c r="I81" s="111"/>
      <c r="J81" s="111"/>
      <c r="K81" s="111"/>
      <c r="L81" s="112"/>
    </row>
    <row r="82" spans="3:12" ht="27" customHeight="1" thickBot="1" x14ac:dyDescent="0.3"/>
    <row r="83" spans="3:12" ht="27" customHeight="1" thickBot="1" x14ac:dyDescent="0.3">
      <c r="C83" s="168" t="s">
        <v>91</v>
      </c>
      <c r="D83" s="169"/>
      <c r="G83" s="168" t="s">
        <v>372</v>
      </c>
      <c r="H83" s="170"/>
      <c r="I83" s="170"/>
      <c r="J83" s="170"/>
      <c r="K83" s="170"/>
      <c r="L83" s="169"/>
    </row>
    <row r="84" spans="3:12" ht="27" customHeight="1" x14ac:dyDescent="0.25"/>
    <row r="85" spans="3:12" ht="27" customHeight="1" x14ac:dyDescent="0.25"/>
    <row r="86" spans="3:12" ht="27" customHeight="1" x14ac:dyDescent="0.25"/>
    <row r="87" spans="3:12" ht="27" customHeight="1" x14ac:dyDescent="0.25"/>
    <row r="88" spans="3:12" ht="27" customHeight="1" x14ac:dyDescent="0.25"/>
    <row r="89" spans="3:12" ht="27" customHeight="1" x14ac:dyDescent="0.25"/>
    <row r="90" spans="3:12" ht="27" customHeight="1" x14ac:dyDescent="0.25"/>
    <row r="91" spans="3:12" ht="27" customHeight="1" x14ac:dyDescent="0.25"/>
    <row r="92" spans="3:12" ht="27" customHeight="1" x14ac:dyDescent="0.25"/>
    <row r="93" spans="3:12" ht="27" customHeight="1" x14ac:dyDescent="0.25"/>
    <row r="94" spans="3:12" ht="27" customHeight="1" x14ac:dyDescent="0.25"/>
    <row r="95" spans="3:12" ht="27" customHeight="1" x14ac:dyDescent="0.25"/>
    <row r="96" spans="3:12" ht="27" customHeight="1" x14ac:dyDescent="0.25"/>
    <row r="97" spans="3:11" x14ac:dyDescent="0.25">
      <c r="C97" s="26"/>
      <c r="D97" s="26"/>
      <c r="E97" s="26"/>
      <c r="F97" s="26"/>
      <c r="G97" s="26"/>
      <c r="H97" s="26"/>
      <c r="I97" s="26"/>
      <c r="J97" s="26"/>
      <c r="K97" s="15"/>
    </row>
  </sheetData>
  <sheetProtection selectLockedCells="1"/>
  <mergeCells count="44">
    <mergeCell ref="C83:D83"/>
    <mergeCell ref="G83:L83"/>
    <mergeCell ref="C75:D75"/>
    <mergeCell ref="G75:L75"/>
    <mergeCell ref="G76:L76"/>
    <mergeCell ref="G77:L77"/>
    <mergeCell ref="G78:L78"/>
    <mergeCell ref="G79:L79"/>
    <mergeCell ref="C81:L81"/>
    <mergeCell ref="C60:L60"/>
    <mergeCell ref="C62:L62"/>
    <mergeCell ref="C70:F70"/>
    <mergeCell ref="C73:L73"/>
    <mergeCell ref="C55:D55"/>
    <mergeCell ref="F49:J49"/>
    <mergeCell ref="F50:J50"/>
    <mergeCell ref="F51:J51"/>
    <mergeCell ref="F53:I53"/>
    <mergeCell ref="F54:I57"/>
    <mergeCell ref="F48:J48"/>
    <mergeCell ref="F58:I58"/>
    <mergeCell ref="F59:I59"/>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1">
    <dataValidation type="whole" showInputMessage="1" showErrorMessage="1" sqref="I36:I41">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60417"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60418"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60419"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60420"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60421"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60422"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60423"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60424"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60425"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60426" r:id="rId13" name="Check Box 10">
              <controlPr defaultSize="0" autoFill="0" autoLine="0" autoPict="0">
                <anchor moveWithCells="1">
                  <from>
                    <xdr:col>6</xdr:col>
                    <xdr:colOff>685800</xdr:colOff>
                    <xdr:row>48</xdr:row>
                    <xdr:rowOff>28575</xdr:rowOff>
                  </from>
                  <to>
                    <xdr:col>8</xdr:col>
                    <xdr:colOff>190500</xdr:colOff>
                    <xdr:row>48</xdr:row>
                    <xdr:rowOff>285750</xdr:rowOff>
                  </to>
                </anchor>
              </controlPr>
            </control>
          </mc:Choice>
        </mc:AlternateContent>
        <mc:AlternateContent xmlns:mc="http://schemas.openxmlformats.org/markup-compatibility/2006">
          <mc:Choice Requires="x14">
            <control shapeId="60427" r:id="rId14" name="Check Box 11">
              <controlPr defaultSize="0" autoFill="0" autoLine="0" autoPict="0">
                <anchor moveWithCells="1">
                  <from>
                    <xdr:col>5</xdr:col>
                    <xdr:colOff>1276350</xdr:colOff>
                    <xdr:row>48</xdr:row>
                    <xdr:rowOff>323850</xdr:rowOff>
                  </from>
                  <to>
                    <xdr:col>8</xdr:col>
                    <xdr:colOff>695325</xdr:colOff>
                    <xdr:row>49</xdr:row>
                    <xdr:rowOff>323850</xdr:rowOff>
                  </to>
                </anchor>
              </controlPr>
            </control>
          </mc:Choice>
        </mc:AlternateContent>
        <mc:AlternateContent xmlns:mc="http://schemas.openxmlformats.org/markup-compatibility/2006">
          <mc:Choice Requires="x14">
            <control shapeId="60428" r:id="rId15" name="Check Box 12">
              <controlPr defaultSize="0" autoFill="0" autoLine="0" autoPict="0">
                <anchor moveWithCells="1">
                  <from>
                    <xdr:col>6</xdr:col>
                    <xdr:colOff>295275</xdr:colOff>
                    <xdr:row>49</xdr:row>
                    <xdr:rowOff>333375</xdr:rowOff>
                  </from>
                  <to>
                    <xdr:col>8</xdr:col>
                    <xdr:colOff>9525</xdr:colOff>
                    <xdr:row>51</xdr:row>
                    <xdr:rowOff>0</xdr:rowOff>
                  </to>
                </anchor>
              </controlPr>
            </control>
          </mc:Choice>
        </mc:AlternateContent>
        <mc:AlternateContent xmlns:mc="http://schemas.openxmlformats.org/markup-compatibility/2006">
          <mc:Choice Requires="x14">
            <control shapeId="60434" r:id="rId16"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D36" sqref="D36"/>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40">
      <formula1>0</formula1>
      <formula2>48</formula2>
    </dataValidation>
    <dataValidation type="whole" allowBlank="1" showInputMessage="1" showErrorMessage="1" sqref="I50:I54 I64:I68 I79:I83 I95:I99 I110:I114 I121:I125">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8369"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8370"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8371"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8372"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8373"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8374"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8375"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8376"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8377"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8378"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8379"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8380"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8381"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8382"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8383"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8384"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8385"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8386"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allowBlank="1" showInputMessage="1" showErrorMessage="1" sqref="I50:I54 I64:I68 I79:I83 I95:I99 I110:I114 I121:I125">
      <formula1>0</formula1>
      <formula2>50</formula2>
    </dataValidation>
    <dataValidation type="whole" showInputMessage="1" showErrorMessage="1" sqref="I36:I40">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7345"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7346"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7347"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7348"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7349"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7350"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7351"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7352"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7353"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7354"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7355"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7356"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7357"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7358"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7359"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7360"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7361"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7362"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allowBlank="1" showInputMessage="1" showErrorMessage="1" sqref="I50:I54 I64:I68 I79:I83 I95:I99 I110:I114 I121:I125">
      <formula1>0</formula1>
      <formula2>50</formula2>
    </dataValidation>
    <dataValidation type="whole" showInputMessage="1" showErrorMessage="1" sqref="I36:I40">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5297"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5298"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5299"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5300"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5301"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5302"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5303"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5304"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5305"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5306"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5307"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5308"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5309"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5310"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5311"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5312"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5313"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5314"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allowBlank="1" showInputMessage="1" showErrorMessage="1" sqref="I50:I54 I64:I68 I79:I83 I95:I99 I110:I114 I121:I125">
      <formula1>0</formula1>
      <formula2>50</formula2>
    </dataValidation>
    <dataValidation type="whole" showInputMessage="1" showErrorMessage="1" sqref="I36:I40">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1201"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1202"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1203"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1204"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1205"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1206"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1207"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1208"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1209"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1210"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1211"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1212"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1213"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1214"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1215"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1216"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1217"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1218"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allowBlank="1" showInputMessage="1" showErrorMessage="1" sqref="I50:I54 I64:I68 I79:I83 I95:I99 I110:I114 I121:I125">
      <formula1>0</formula1>
      <formula2>50</formula2>
    </dataValidation>
    <dataValidation type="whole" showInputMessage="1" showErrorMessage="1" sqref="I36:I40">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4273"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4274"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4275"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4276"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4277"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4278"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4279"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4280"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4281"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4282"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4283"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4284"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4285"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4286"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4287"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4288"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4289"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4290"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40">
      <formula1>0</formula1>
      <formula2>48</formula2>
    </dataValidation>
    <dataValidation type="whole" allowBlank="1" showInputMessage="1" showErrorMessage="1" sqref="I50:I54 I64:I68 I79:I83 I95:I99 I110:I114 I121:I125">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3249"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3250"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3251"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3252"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3253"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3254"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3255"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3256"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3257"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3258"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3259"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3260"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3261"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3262"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3263"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3264"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3265"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3266"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showInputMessage="1" showErrorMessage="1" sqref="I36:I40">
      <formula1>0</formula1>
      <formula2>48</formula2>
    </dataValidation>
    <dataValidation type="whole" allowBlank="1" showInputMessage="1" showErrorMessage="1" sqref="I50:I54 I64:I68 I79:I83 I95:I99 I110:I114 I121:I125">
      <formula1>0</formula1>
      <formula2>50</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50177"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50178"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50179"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50180"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50181"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50182"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50183"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50184"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50185"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50186"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50187"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50188"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50189"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50190"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50191"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50192"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50193"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50194"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B1:M232"/>
  <sheetViews>
    <sheetView zoomScale="70" zoomScaleNormal="70" workbookViewId="0">
      <selection activeCell="E5" sqref="E5"/>
    </sheetView>
  </sheetViews>
  <sheetFormatPr defaultRowHeight="15" x14ac:dyDescent="0.25"/>
  <cols>
    <col min="1" max="1" width="1.42578125" style="1" customWidth="1"/>
    <col min="2" max="2" width="5.5703125" style="1" customWidth="1"/>
    <col min="3" max="3" width="30.5703125" style="1" customWidth="1"/>
    <col min="4" max="4" width="59.85546875" style="1" customWidth="1"/>
    <col min="5" max="5" width="29.28515625" style="1" customWidth="1"/>
    <col min="6" max="6" width="23.140625" style="1" customWidth="1"/>
    <col min="7" max="9" width="20.5703125" style="1" customWidth="1"/>
    <col min="10" max="10" width="10.140625" style="1" customWidth="1"/>
    <col min="11" max="11" width="32.140625" style="1" customWidth="1"/>
    <col min="12" max="12" width="38" style="1" customWidth="1"/>
    <col min="13" max="16384" width="9.140625" style="1"/>
  </cols>
  <sheetData>
    <row r="1" spans="2:12" x14ac:dyDescent="0.25">
      <c r="C1" s="2"/>
      <c r="D1" s="2"/>
      <c r="E1" s="2"/>
      <c r="F1" s="2"/>
      <c r="G1" s="2"/>
      <c r="H1" s="2"/>
      <c r="I1" s="2"/>
      <c r="J1" s="2"/>
      <c r="K1" s="2"/>
      <c r="L1" s="2"/>
    </row>
    <row r="2" spans="2:12" x14ac:dyDescent="0.25">
      <c r="C2" s="2"/>
      <c r="D2" s="2"/>
      <c r="E2" s="2"/>
      <c r="F2" s="2"/>
      <c r="G2" s="46"/>
      <c r="H2" s="2"/>
      <c r="I2" s="2"/>
      <c r="J2" s="2"/>
      <c r="K2" s="2"/>
      <c r="L2" s="2"/>
    </row>
    <row r="3" spans="2:12" x14ac:dyDescent="0.25">
      <c r="C3" s="2"/>
      <c r="D3" s="2"/>
      <c r="E3" s="2"/>
      <c r="F3" s="2"/>
      <c r="G3" s="2"/>
      <c r="H3" s="2"/>
      <c r="I3" s="2"/>
      <c r="J3" s="2"/>
      <c r="K3" s="2"/>
      <c r="L3" s="2"/>
    </row>
    <row r="4" spans="2:12" x14ac:dyDescent="0.25">
      <c r="C4" s="2"/>
      <c r="D4" s="2"/>
      <c r="E4" s="2"/>
      <c r="F4" s="2"/>
      <c r="G4" s="2"/>
      <c r="H4" s="2"/>
      <c r="I4" s="2"/>
      <c r="J4" s="2"/>
      <c r="K4" s="2"/>
      <c r="L4" s="2"/>
    </row>
    <row r="5" spans="2:12" x14ac:dyDescent="0.25">
      <c r="C5" s="2"/>
      <c r="D5" s="2"/>
      <c r="E5" s="2"/>
      <c r="F5" s="2"/>
      <c r="G5" s="2"/>
      <c r="H5" s="2"/>
      <c r="I5" s="2"/>
      <c r="J5" s="2"/>
      <c r="K5" s="2"/>
      <c r="L5" s="2"/>
    </row>
    <row r="6" spans="2:12" x14ac:dyDescent="0.25">
      <c r="C6" s="2"/>
      <c r="D6" s="2"/>
      <c r="E6" s="2"/>
      <c r="F6" s="2"/>
      <c r="G6" s="2"/>
      <c r="H6" s="2"/>
      <c r="I6" s="2"/>
      <c r="J6" s="2"/>
      <c r="K6" s="2"/>
      <c r="L6" s="2"/>
    </row>
    <row r="7" spans="2:12" x14ac:dyDescent="0.25">
      <c r="C7" s="2"/>
      <c r="D7" s="2"/>
      <c r="E7" s="2"/>
      <c r="F7" s="2"/>
      <c r="G7" s="2"/>
      <c r="H7" s="2"/>
      <c r="I7" s="2"/>
      <c r="J7" s="2"/>
      <c r="K7" s="2"/>
      <c r="L7" s="2"/>
    </row>
    <row r="8" spans="2:12" x14ac:dyDescent="0.25">
      <c r="C8" s="2"/>
      <c r="D8" s="2"/>
      <c r="E8" s="2"/>
      <c r="F8" s="2"/>
      <c r="G8" s="2"/>
      <c r="H8" s="2"/>
      <c r="I8" s="2"/>
      <c r="J8" s="2"/>
      <c r="K8" s="2"/>
      <c r="L8" s="2"/>
    </row>
    <row r="9" spans="2:12" x14ac:dyDescent="0.25">
      <c r="C9" s="2"/>
      <c r="D9" s="2"/>
      <c r="E9" s="2"/>
      <c r="F9" s="2"/>
      <c r="G9" s="2"/>
      <c r="H9" s="2"/>
      <c r="I9" s="2"/>
      <c r="J9" s="2"/>
      <c r="K9" s="2"/>
      <c r="L9" s="2"/>
    </row>
    <row r="10" spans="2:12" x14ac:dyDescent="0.25">
      <c r="C10" s="2"/>
      <c r="D10" s="2"/>
      <c r="E10" s="2"/>
      <c r="F10" s="2"/>
      <c r="G10" s="2"/>
      <c r="H10" s="2"/>
      <c r="I10" s="2"/>
      <c r="J10" s="2"/>
      <c r="K10" s="2"/>
      <c r="L10" s="2"/>
    </row>
    <row r="11" spans="2:12" x14ac:dyDescent="0.25">
      <c r="C11" s="2"/>
      <c r="D11" s="2"/>
      <c r="E11" s="2"/>
      <c r="F11" s="2"/>
      <c r="G11" s="2"/>
      <c r="H11" s="2"/>
      <c r="I11" s="2"/>
      <c r="J11" s="2"/>
      <c r="K11" s="2"/>
      <c r="L11" s="2"/>
    </row>
    <row r="12" spans="2:12" ht="28.5" customHeight="1" x14ac:dyDescent="0.25">
      <c r="C12" s="97" t="s">
        <v>139</v>
      </c>
      <c r="D12" s="97"/>
      <c r="E12" s="97"/>
      <c r="F12" s="97"/>
      <c r="G12" s="97"/>
      <c r="H12" s="97"/>
      <c r="I12" s="97"/>
      <c r="J12" s="97"/>
      <c r="K12" s="97"/>
      <c r="L12" s="98"/>
    </row>
    <row r="13" spans="2:12" ht="26.25" customHeight="1" thickBot="1" x14ac:dyDescent="0.3">
      <c r="L13" s="3"/>
    </row>
    <row r="14" spans="2:12" ht="26.25" customHeight="1" thickBot="1" x14ac:dyDescent="0.3">
      <c r="K14" s="50" t="s">
        <v>107</v>
      </c>
      <c r="L14" s="4"/>
    </row>
    <row r="15" spans="2:12" ht="27" customHeight="1" thickBot="1" x14ac:dyDescent="0.3">
      <c r="B15" s="99" t="s">
        <v>106</v>
      </c>
      <c r="C15" s="100" t="s">
        <v>95</v>
      </c>
      <c r="D15" s="101"/>
      <c r="E15" s="101"/>
      <c r="F15" s="101"/>
      <c r="G15" s="101"/>
      <c r="H15" s="101"/>
      <c r="I15" s="101"/>
      <c r="J15" s="101"/>
      <c r="K15" s="101"/>
      <c r="L15" s="102"/>
    </row>
    <row r="16" spans="2:12" ht="27" customHeight="1" x14ac:dyDescent="0.25">
      <c r="B16" s="99"/>
      <c r="C16" s="103" t="s">
        <v>41</v>
      </c>
      <c r="D16" s="104"/>
      <c r="E16" s="76"/>
      <c r="F16" s="76"/>
      <c r="G16" s="76"/>
      <c r="H16" s="76"/>
      <c r="I16" s="76"/>
      <c r="J16" s="103" t="s">
        <v>96</v>
      </c>
      <c r="K16" s="105"/>
      <c r="L16" s="104"/>
    </row>
    <row r="17" spans="2:12" ht="27" customHeight="1" x14ac:dyDescent="0.25">
      <c r="B17" s="99"/>
      <c r="C17" s="106" t="s">
        <v>97</v>
      </c>
      <c r="D17" s="107"/>
      <c r="E17" s="76"/>
      <c r="F17" s="76"/>
      <c r="G17" s="76"/>
      <c r="H17" s="76"/>
      <c r="I17" s="76"/>
      <c r="J17" s="106" t="s">
        <v>97</v>
      </c>
      <c r="K17" s="108"/>
      <c r="L17" s="107"/>
    </row>
    <row r="18" spans="2:12" ht="27" customHeight="1" x14ac:dyDescent="0.25">
      <c r="B18" s="99"/>
      <c r="C18" s="106" t="s">
        <v>98</v>
      </c>
      <c r="D18" s="107"/>
      <c r="E18" s="76"/>
      <c r="F18" s="76"/>
      <c r="G18" s="76"/>
      <c r="H18" s="76"/>
      <c r="I18" s="76"/>
      <c r="J18" s="106" t="s">
        <v>99</v>
      </c>
      <c r="K18" s="108"/>
      <c r="L18" s="107"/>
    </row>
    <row r="19" spans="2:12" ht="27" customHeight="1" thickBot="1" x14ac:dyDescent="0.3">
      <c r="B19" s="99"/>
      <c r="C19" s="109" t="s">
        <v>100</v>
      </c>
      <c r="D19" s="110"/>
      <c r="E19" s="77"/>
      <c r="F19" s="77"/>
      <c r="G19" s="77"/>
      <c r="H19" s="77"/>
      <c r="I19" s="77"/>
      <c r="J19" s="109" t="s">
        <v>100</v>
      </c>
      <c r="K19" s="113"/>
      <c r="L19" s="110"/>
    </row>
    <row r="20" spans="2:12" ht="27" customHeight="1" thickBot="1" x14ac:dyDescent="0.3">
      <c r="B20" s="99"/>
      <c r="L20" s="3"/>
    </row>
    <row r="21" spans="2:12" ht="27" customHeight="1" thickBot="1" x14ac:dyDescent="0.3">
      <c r="B21" s="99"/>
      <c r="C21" s="114" t="s">
        <v>111</v>
      </c>
      <c r="D21" s="115"/>
      <c r="E21" s="115"/>
      <c r="F21" s="115"/>
      <c r="G21" s="115"/>
      <c r="H21" s="115"/>
      <c r="I21" s="115"/>
      <c r="J21" s="115"/>
      <c r="K21" s="115"/>
      <c r="L21" s="116"/>
    </row>
    <row r="22" spans="2:12" ht="27" customHeight="1" thickBot="1" x14ac:dyDescent="0.3">
      <c r="B22" s="99"/>
      <c r="C22" s="47" t="s">
        <v>101</v>
      </c>
      <c r="D22" s="117"/>
      <c r="E22" s="118"/>
      <c r="F22" s="118"/>
      <c r="G22" s="118"/>
      <c r="H22" s="118"/>
      <c r="I22" s="118"/>
      <c r="J22" s="118"/>
      <c r="K22" s="118"/>
      <c r="L22" s="119"/>
    </row>
    <row r="23" spans="2:12" ht="27" customHeight="1" thickBot="1" x14ac:dyDescent="0.3">
      <c r="B23" s="99"/>
      <c r="C23" s="48" t="s">
        <v>102</v>
      </c>
      <c r="D23" s="120"/>
      <c r="E23" s="121"/>
      <c r="F23" s="121"/>
      <c r="G23" s="121"/>
      <c r="H23" s="121"/>
      <c r="I23" s="121"/>
      <c r="J23" s="121"/>
      <c r="K23" s="121"/>
      <c r="L23" s="122"/>
    </row>
    <row r="24" spans="2:12" ht="27" customHeight="1" thickBot="1" x14ac:dyDescent="0.3">
      <c r="B24" s="99"/>
      <c r="C24" s="49" t="s">
        <v>103</v>
      </c>
      <c r="D24" s="123"/>
      <c r="E24" s="124"/>
      <c r="F24" s="124"/>
      <c r="G24" s="124"/>
      <c r="H24" s="124"/>
      <c r="I24" s="124"/>
      <c r="J24" s="124"/>
      <c r="K24" s="124"/>
      <c r="L24" s="125"/>
    </row>
    <row r="25" spans="2:12" ht="27" customHeight="1" thickBot="1" x14ac:dyDescent="0.3">
      <c r="B25" s="99"/>
      <c r="C25" s="47" t="s">
        <v>104</v>
      </c>
      <c r="D25" s="120"/>
      <c r="E25" s="121"/>
      <c r="F25" s="121"/>
      <c r="G25" s="121"/>
      <c r="H25" s="121"/>
      <c r="I25" s="121"/>
      <c r="J25" s="121"/>
      <c r="K25" s="121"/>
      <c r="L25" s="122"/>
    </row>
    <row r="26" spans="2:12" ht="27" customHeight="1" thickBot="1" x14ac:dyDescent="0.3">
      <c r="B26" s="99"/>
      <c r="C26" s="50" t="s">
        <v>105</v>
      </c>
      <c r="D26" s="126"/>
      <c r="E26" s="126"/>
      <c r="F26" s="126"/>
      <c r="G26" s="126"/>
      <c r="H26" s="126"/>
      <c r="I26" s="126"/>
      <c r="J26" s="126"/>
      <c r="K26" s="126"/>
      <c r="L26" s="127"/>
    </row>
    <row r="27" spans="2:12" ht="27" customHeight="1" thickBot="1" x14ac:dyDescent="0.3">
      <c r="B27" s="5"/>
      <c r="C27" s="6"/>
      <c r="D27" s="7"/>
      <c r="E27" s="7"/>
      <c r="F27" s="7"/>
      <c r="G27" s="7"/>
      <c r="H27" s="7"/>
      <c r="I27" s="7"/>
      <c r="J27" s="7"/>
      <c r="K27" s="7"/>
      <c r="L27" s="7"/>
    </row>
    <row r="28" spans="2:12" ht="27" customHeight="1" thickBot="1" x14ac:dyDescent="0.3">
      <c r="B28" s="5"/>
      <c r="C28" s="100" t="s">
        <v>112</v>
      </c>
      <c r="D28" s="101"/>
      <c r="E28" s="101"/>
      <c r="F28" s="101"/>
      <c r="G28" s="101"/>
      <c r="H28" s="101"/>
      <c r="I28" s="101"/>
      <c r="J28" s="101"/>
      <c r="K28" s="101"/>
      <c r="L28" s="102"/>
    </row>
    <row r="29" spans="2:12" ht="27" customHeight="1" thickBot="1" x14ac:dyDescent="0.3">
      <c r="B29" s="5"/>
      <c r="C29" s="49" t="s">
        <v>108</v>
      </c>
      <c r="D29" s="128"/>
      <c r="E29" s="129"/>
      <c r="F29" s="129"/>
      <c r="G29" s="129"/>
      <c r="H29" s="129"/>
      <c r="I29" s="129"/>
      <c r="J29" s="129"/>
      <c r="K29" s="129"/>
      <c r="L29" s="130"/>
    </row>
    <row r="30" spans="2:12" ht="27" customHeight="1" thickBot="1" x14ac:dyDescent="0.3">
      <c r="B30" s="5"/>
      <c r="C30" s="49" t="s">
        <v>109</v>
      </c>
      <c r="D30" s="8" t="s">
        <v>117</v>
      </c>
      <c r="E30" s="9" t="s">
        <v>115</v>
      </c>
      <c r="F30" s="9"/>
      <c r="G30" s="9" t="s">
        <v>113</v>
      </c>
      <c r="H30" s="9"/>
      <c r="I30" s="9" t="s">
        <v>116</v>
      </c>
      <c r="J30" s="9"/>
      <c r="K30" s="9"/>
      <c r="L30" s="10" t="s">
        <v>140</v>
      </c>
    </row>
    <row r="31" spans="2:12" ht="27" customHeight="1" thickBot="1" x14ac:dyDescent="0.3">
      <c r="B31" s="5"/>
      <c r="C31" s="48" t="s">
        <v>88</v>
      </c>
      <c r="D31" s="11" t="s">
        <v>118</v>
      </c>
      <c r="E31" s="12" t="s">
        <v>119</v>
      </c>
      <c r="F31" s="12"/>
      <c r="G31" s="131" t="s">
        <v>120</v>
      </c>
      <c r="H31" s="131"/>
      <c r="I31" s="131"/>
      <c r="J31" s="131"/>
      <c r="K31" s="13" t="s">
        <v>121</v>
      </c>
      <c r="L31" s="14"/>
    </row>
    <row r="32" spans="2:12" ht="27" customHeight="1" thickBot="1" x14ac:dyDescent="0.3">
      <c r="B32" s="5"/>
      <c r="C32" s="49" t="s">
        <v>110</v>
      </c>
      <c r="D32" s="132" t="s">
        <v>114</v>
      </c>
      <c r="E32" s="133"/>
      <c r="F32" s="133"/>
      <c r="G32" s="133"/>
      <c r="H32" s="133"/>
      <c r="I32" s="133"/>
      <c r="J32" s="133"/>
      <c r="K32" s="133"/>
      <c r="L32" s="134"/>
    </row>
    <row r="33" spans="3:12" x14ac:dyDescent="0.25">
      <c r="D33" s="15"/>
      <c r="E33" s="15"/>
      <c r="F33" s="15"/>
      <c r="G33" s="15"/>
      <c r="H33" s="15"/>
      <c r="I33" s="15"/>
      <c r="J33" s="15"/>
      <c r="K33" s="15"/>
    </row>
    <row r="34" spans="3:12" ht="27" customHeight="1" x14ac:dyDescent="0.25">
      <c r="C34" s="111" t="s">
        <v>0</v>
      </c>
      <c r="D34" s="111"/>
      <c r="E34" s="111"/>
      <c r="F34" s="111"/>
      <c r="G34" s="111"/>
      <c r="H34" s="111"/>
      <c r="I34" s="111"/>
      <c r="J34" s="111"/>
      <c r="K34" s="111"/>
      <c r="L34" s="112"/>
    </row>
    <row r="35" spans="3:12" ht="27" customHeight="1" x14ac:dyDescent="0.25">
      <c r="C35" s="51" t="s">
        <v>1</v>
      </c>
      <c r="D35" s="51" t="s">
        <v>2</v>
      </c>
      <c r="E35" s="51" t="s">
        <v>3</v>
      </c>
      <c r="F35" s="51" t="s">
        <v>4</v>
      </c>
      <c r="G35" s="51" t="s">
        <v>5</v>
      </c>
      <c r="H35" s="51" t="s">
        <v>133</v>
      </c>
      <c r="I35" s="51" t="s">
        <v>134</v>
      </c>
      <c r="J35" s="51" t="s">
        <v>6</v>
      </c>
      <c r="K35" s="51" t="s">
        <v>135</v>
      </c>
      <c r="L35" s="51" t="s">
        <v>8</v>
      </c>
    </row>
    <row r="36" spans="3:12" ht="27" customHeight="1" x14ac:dyDescent="0.3">
      <c r="C36" s="17"/>
      <c r="D36" s="18"/>
      <c r="E36" s="19"/>
      <c r="F36" s="17"/>
      <c r="G36" s="19">
        <v>0</v>
      </c>
      <c r="H36" s="20">
        <v>0</v>
      </c>
      <c r="I36" s="45">
        <v>0</v>
      </c>
      <c r="J36" s="52" t="s">
        <v>9</v>
      </c>
      <c r="K36" s="72">
        <f>ROUND(H36*(1-I36/100),2)</f>
        <v>0</v>
      </c>
      <c r="L36" s="73">
        <f t="shared" ref="L36:L39" si="0">K36*G36</f>
        <v>0</v>
      </c>
    </row>
    <row r="37" spans="3:12" ht="27" customHeight="1" x14ac:dyDescent="0.3">
      <c r="C37" s="17"/>
      <c r="D37" s="18"/>
      <c r="E37" s="19"/>
      <c r="F37" s="17"/>
      <c r="G37" s="19">
        <v>0</v>
      </c>
      <c r="H37" s="20">
        <v>0</v>
      </c>
      <c r="I37" s="45">
        <v>0</v>
      </c>
      <c r="J37" s="52" t="s">
        <v>9</v>
      </c>
      <c r="K37" s="72">
        <f t="shared" ref="K37:K40" si="1">ROUND(H37*(1-I37/100),2)</f>
        <v>0</v>
      </c>
      <c r="L37" s="73">
        <f t="shared" si="0"/>
        <v>0</v>
      </c>
    </row>
    <row r="38" spans="3:12" ht="27" customHeight="1" x14ac:dyDescent="0.3">
      <c r="C38" s="17"/>
      <c r="D38" s="18"/>
      <c r="E38" s="19"/>
      <c r="F38" s="17"/>
      <c r="G38" s="19">
        <v>0</v>
      </c>
      <c r="H38" s="20">
        <v>0</v>
      </c>
      <c r="I38" s="45">
        <v>0</v>
      </c>
      <c r="J38" s="52" t="s">
        <v>9</v>
      </c>
      <c r="K38" s="72">
        <f t="shared" si="1"/>
        <v>0</v>
      </c>
      <c r="L38" s="73">
        <f t="shared" si="0"/>
        <v>0</v>
      </c>
    </row>
    <row r="39" spans="3:12" ht="27" customHeight="1" x14ac:dyDescent="0.3">
      <c r="C39" s="17"/>
      <c r="D39" s="18"/>
      <c r="E39" s="19"/>
      <c r="F39" s="17"/>
      <c r="G39" s="19">
        <v>0</v>
      </c>
      <c r="H39" s="20">
        <v>0</v>
      </c>
      <c r="I39" s="45">
        <v>0</v>
      </c>
      <c r="J39" s="52" t="s">
        <v>9</v>
      </c>
      <c r="K39" s="72">
        <f t="shared" si="1"/>
        <v>0</v>
      </c>
      <c r="L39" s="73">
        <f t="shared" si="0"/>
        <v>0</v>
      </c>
    </row>
    <row r="40" spans="3:12" ht="27" customHeight="1" x14ac:dyDescent="0.3">
      <c r="C40" s="22"/>
      <c r="D40" s="23"/>
      <c r="E40" s="19"/>
      <c r="F40" s="24"/>
      <c r="G40" s="19">
        <v>0</v>
      </c>
      <c r="H40" s="20">
        <v>0</v>
      </c>
      <c r="I40" s="45">
        <v>0</v>
      </c>
      <c r="J40" s="52" t="s">
        <v>9</v>
      </c>
      <c r="K40" s="72">
        <f t="shared" si="1"/>
        <v>0</v>
      </c>
      <c r="L40" s="73">
        <f>K40*G40</f>
        <v>0</v>
      </c>
    </row>
    <row r="41" spans="3:12" ht="27" customHeight="1" x14ac:dyDescent="0.35">
      <c r="D41" s="15"/>
      <c r="E41" s="15"/>
      <c r="F41" s="15"/>
      <c r="G41" s="16">
        <f>SUM(G36+G37+G38+G39+G40)</f>
        <v>0</v>
      </c>
      <c r="H41" s="6"/>
      <c r="I41" s="6"/>
      <c r="J41" s="15"/>
      <c r="K41" s="42" t="s">
        <v>10</v>
      </c>
      <c r="L41" s="74">
        <f>SUM(L36:L40)</f>
        <v>0</v>
      </c>
    </row>
    <row r="42" spans="3:12" ht="27" customHeight="1" x14ac:dyDescent="0.35">
      <c r="C42" s="25" t="s">
        <v>149</v>
      </c>
      <c r="D42" s="15"/>
      <c r="E42" s="15"/>
      <c r="F42" s="15"/>
      <c r="G42" s="15"/>
      <c r="H42" s="15"/>
      <c r="I42" s="15"/>
      <c r="J42" s="15"/>
      <c r="K42" s="42" t="s">
        <v>11</v>
      </c>
      <c r="L42" s="75">
        <f>L41*20/100</f>
        <v>0</v>
      </c>
    </row>
    <row r="43" spans="3:12" ht="27" customHeight="1" x14ac:dyDescent="0.35">
      <c r="C43" s="26" t="s">
        <v>12</v>
      </c>
      <c r="D43" s="26"/>
      <c r="E43" s="26"/>
      <c r="F43" s="26"/>
      <c r="G43" s="26"/>
      <c r="H43" s="26"/>
      <c r="I43" s="26"/>
      <c r="J43" s="26"/>
      <c r="K43" s="42" t="s">
        <v>13</v>
      </c>
      <c r="L43" s="74">
        <f>L42+L41</f>
        <v>0</v>
      </c>
    </row>
    <row r="44" spans="3:12" ht="27" customHeight="1" x14ac:dyDescent="0.35">
      <c r="C44" s="26" t="s">
        <v>14</v>
      </c>
      <c r="D44" s="26"/>
      <c r="E44" s="26"/>
      <c r="F44" s="26"/>
      <c r="G44" s="26"/>
      <c r="H44" s="26"/>
      <c r="I44" s="26"/>
      <c r="J44" s="26"/>
      <c r="K44" s="27"/>
      <c r="L44" s="28"/>
    </row>
    <row r="45" spans="3:12" ht="27" customHeight="1" x14ac:dyDescent="0.35">
      <c r="C45" s="26" t="s">
        <v>15</v>
      </c>
      <c r="D45" s="26"/>
      <c r="E45" s="26"/>
      <c r="F45" s="26"/>
      <c r="G45" s="26"/>
      <c r="H45" s="26"/>
      <c r="I45" s="26"/>
      <c r="J45" s="26"/>
      <c r="K45" s="27"/>
      <c r="L45" s="28"/>
    </row>
    <row r="46" spans="3:12" ht="27" customHeight="1" x14ac:dyDescent="0.35">
      <c r="C46" s="26" t="s">
        <v>148</v>
      </c>
      <c r="D46" s="26"/>
      <c r="E46" s="26"/>
      <c r="F46" s="26"/>
      <c r="G46" s="26"/>
      <c r="H46" s="26"/>
      <c r="I46" s="26"/>
      <c r="J46" s="26"/>
      <c r="K46" s="27"/>
      <c r="L46" s="28"/>
    </row>
    <row r="47" spans="3:12" ht="27" customHeight="1" x14ac:dyDescent="0.35">
      <c r="C47" s="26"/>
      <c r="D47" s="26"/>
      <c r="E47" s="26"/>
      <c r="F47" s="26"/>
      <c r="G47" s="26"/>
      <c r="H47" s="26"/>
      <c r="I47" s="26"/>
      <c r="J47" s="26"/>
      <c r="K47" s="27"/>
      <c r="L47" s="28"/>
    </row>
    <row r="48" spans="3:12" ht="27" customHeight="1" x14ac:dyDescent="0.25">
      <c r="C48" s="111" t="s">
        <v>16</v>
      </c>
      <c r="D48" s="111"/>
      <c r="E48" s="111"/>
      <c r="F48" s="111"/>
      <c r="G48" s="111"/>
      <c r="H48" s="111"/>
      <c r="I48" s="111"/>
      <c r="J48" s="111"/>
      <c r="K48" s="111"/>
      <c r="L48" s="112"/>
    </row>
    <row r="49" spans="3:12" ht="27" customHeight="1" x14ac:dyDescent="0.25">
      <c r="C49" s="51" t="s">
        <v>1</v>
      </c>
      <c r="D49" s="51" t="s">
        <v>2</v>
      </c>
      <c r="E49" s="51" t="s">
        <v>3</v>
      </c>
      <c r="F49" s="51" t="s">
        <v>4</v>
      </c>
      <c r="G49" s="51" t="s">
        <v>5</v>
      </c>
      <c r="H49" s="51" t="s">
        <v>133</v>
      </c>
      <c r="I49" s="51" t="s">
        <v>134</v>
      </c>
      <c r="J49" s="51" t="s">
        <v>6</v>
      </c>
      <c r="K49" s="51" t="s">
        <v>7</v>
      </c>
      <c r="L49" s="51" t="s">
        <v>8</v>
      </c>
    </row>
    <row r="50" spans="3:12" ht="27" customHeight="1" x14ac:dyDescent="0.3">
      <c r="C50" s="17"/>
      <c r="D50" s="18"/>
      <c r="E50" s="19"/>
      <c r="F50" s="17"/>
      <c r="G50" s="19"/>
      <c r="H50" s="20">
        <v>0</v>
      </c>
      <c r="I50" s="45">
        <v>0</v>
      </c>
      <c r="J50" s="52" t="s">
        <v>9</v>
      </c>
      <c r="K50" s="72">
        <f>ROUND(H50*(1-I50/100),2)</f>
        <v>0</v>
      </c>
      <c r="L50" s="73">
        <f t="shared" ref="L50:L53" si="2">K50*G50</f>
        <v>0</v>
      </c>
    </row>
    <row r="51" spans="3:12" ht="27" customHeight="1" x14ac:dyDescent="0.3">
      <c r="C51" s="17"/>
      <c r="D51" s="18"/>
      <c r="E51" s="19"/>
      <c r="F51" s="17"/>
      <c r="G51" s="19"/>
      <c r="H51" s="20">
        <v>0</v>
      </c>
      <c r="I51" s="45">
        <v>0</v>
      </c>
      <c r="J51" s="52" t="s">
        <v>9</v>
      </c>
      <c r="K51" s="72">
        <f t="shared" ref="K51:K54" si="3">ROUND(H51*(1-I51/100),2)</f>
        <v>0</v>
      </c>
      <c r="L51" s="73">
        <f t="shared" si="2"/>
        <v>0</v>
      </c>
    </row>
    <row r="52" spans="3:12" ht="27" customHeight="1" x14ac:dyDescent="0.3">
      <c r="C52" s="17"/>
      <c r="D52" s="18"/>
      <c r="E52" s="19"/>
      <c r="F52" s="17"/>
      <c r="G52" s="19"/>
      <c r="H52" s="20">
        <v>0</v>
      </c>
      <c r="I52" s="45">
        <v>0</v>
      </c>
      <c r="J52" s="52" t="s">
        <v>9</v>
      </c>
      <c r="K52" s="72">
        <f t="shared" si="3"/>
        <v>0</v>
      </c>
      <c r="L52" s="73">
        <f t="shared" si="2"/>
        <v>0</v>
      </c>
    </row>
    <row r="53" spans="3:12" ht="27" customHeight="1" x14ac:dyDescent="0.3">
      <c r="C53" s="17"/>
      <c r="D53" s="18"/>
      <c r="E53" s="19"/>
      <c r="F53" s="17"/>
      <c r="G53" s="19"/>
      <c r="H53" s="20">
        <v>0</v>
      </c>
      <c r="I53" s="45">
        <v>0</v>
      </c>
      <c r="J53" s="52" t="s">
        <v>9</v>
      </c>
      <c r="K53" s="72">
        <f t="shared" si="3"/>
        <v>0</v>
      </c>
      <c r="L53" s="73">
        <f t="shared" si="2"/>
        <v>0</v>
      </c>
    </row>
    <row r="54" spans="3:12" ht="27" customHeight="1" x14ac:dyDescent="0.3">
      <c r="C54" s="22"/>
      <c r="D54" s="23"/>
      <c r="E54" s="19"/>
      <c r="F54" s="24"/>
      <c r="G54" s="19"/>
      <c r="H54" s="20">
        <v>0</v>
      </c>
      <c r="I54" s="45">
        <v>0</v>
      </c>
      <c r="J54" s="52" t="s">
        <v>9</v>
      </c>
      <c r="K54" s="72">
        <f t="shared" si="3"/>
        <v>0</v>
      </c>
      <c r="L54" s="73">
        <f>K54*G54</f>
        <v>0</v>
      </c>
    </row>
    <row r="55" spans="3:12" ht="27" customHeight="1" x14ac:dyDescent="0.35">
      <c r="D55" s="15"/>
      <c r="E55" s="15"/>
      <c r="F55" s="15"/>
      <c r="G55" s="16">
        <f>SUM(G50+G51+G52+G53+G54)</f>
        <v>0</v>
      </c>
      <c r="H55" s="6"/>
      <c r="I55" s="6"/>
      <c r="J55" s="15"/>
      <c r="K55" s="42" t="s">
        <v>10</v>
      </c>
      <c r="L55" s="74">
        <f>SUM(L50:L54)</f>
        <v>0</v>
      </c>
    </row>
    <row r="56" spans="3:12" ht="27" customHeight="1" x14ac:dyDescent="0.35">
      <c r="C56" s="25" t="s">
        <v>150</v>
      </c>
      <c r="D56" s="15"/>
      <c r="E56" s="15"/>
      <c r="F56" s="15"/>
      <c r="G56" s="15"/>
      <c r="H56" s="15"/>
      <c r="I56" s="15"/>
      <c r="J56" s="15"/>
      <c r="K56" s="42" t="s">
        <v>11</v>
      </c>
      <c r="L56" s="75">
        <f>L55*20/100</f>
        <v>0</v>
      </c>
    </row>
    <row r="57" spans="3:12" ht="27" customHeight="1" x14ac:dyDescent="0.35">
      <c r="C57" s="26" t="s">
        <v>17</v>
      </c>
      <c r="D57" s="26"/>
      <c r="E57" s="26"/>
      <c r="F57" s="26"/>
      <c r="G57" s="26"/>
      <c r="H57" s="26"/>
      <c r="I57" s="26"/>
      <c r="J57" s="26"/>
      <c r="K57" s="42" t="s">
        <v>13</v>
      </c>
      <c r="L57" s="74">
        <f>L56+L55</f>
        <v>0</v>
      </c>
    </row>
    <row r="58" spans="3:12" ht="27" customHeight="1" x14ac:dyDescent="0.35">
      <c r="C58" s="26" t="s">
        <v>18</v>
      </c>
      <c r="D58" s="26"/>
      <c r="E58" s="26"/>
      <c r="F58" s="26"/>
      <c r="G58" s="26"/>
      <c r="H58" s="26"/>
      <c r="I58" s="26"/>
      <c r="J58" s="26"/>
      <c r="K58" s="27"/>
      <c r="L58" s="28"/>
    </row>
    <row r="59" spans="3:12" ht="27" customHeight="1" x14ac:dyDescent="0.35">
      <c r="C59" s="26" t="s">
        <v>19</v>
      </c>
      <c r="D59" s="26"/>
      <c r="E59" s="26"/>
      <c r="F59" s="26"/>
      <c r="G59" s="26"/>
      <c r="H59" s="26"/>
      <c r="I59" s="26"/>
      <c r="J59" s="26"/>
      <c r="K59" s="27"/>
      <c r="L59" s="28"/>
    </row>
    <row r="60" spans="3:12" ht="27" customHeight="1" x14ac:dyDescent="0.35">
      <c r="C60" s="26" t="s">
        <v>20</v>
      </c>
      <c r="D60" s="26"/>
      <c r="E60" s="26"/>
      <c r="F60" s="26"/>
      <c r="G60" s="26"/>
      <c r="H60" s="26"/>
      <c r="I60" s="26"/>
      <c r="J60" s="26"/>
      <c r="K60" s="27"/>
      <c r="L60" s="28"/>
    </row>
    <row r="61" spans="3:12" ht="27" customHeight="1" x14ac:dyDescent="0.35">
      <c r="D61" s="26"/>
      <c r="E61" s="26"/>
      <c r="F61" s="26"/>
      <c r="G61" s="26"/>
      <c r="H61" s="26"/>
      <c r="I61" s="26"/>
      <c r="J61" s="26"/>
      <c r="K61" s="27"/>
      <c r="L61" s="28"/>
    </row>
    <row r="62" spans="3:12" ht="27" customHeight="1" x14ac:dyDescent="0.25">
      <c r="C62" s="111" t="s">
        <v>21</v>
      </c>
      <c r="D62" s="111"/>
      <c r="E62" s="111"/>
      <c r="F62" s="111"/>
      <c r="G62" s="111"/>
      <c r="H62" s="111"/>
      <c r="I62" s="111"/>
      <c r="J62" s="111"/>
      <c r="K62" s="111"/>
      <c r="L62" s="112"/>
    </row>
    <row r="63" spans="3:12" ht="27" customHeight="1" x14ac:dyDescent="0.25">
      <c r="C63" s="51" t="s">
        <v>1</v>
      </c>
      <c r="D63" s="51" t="s">
        <v>2</v>
      </c>
      <c r="E63" s="51" t="s">
        <v>69</v>
      </c>
      <c r="F63" s="51" t="s">
        <v>70</v>
      </c>
      <c r="G63" s="51" t="s">
        <v>5</v>
      </c>
      <c r="H63" s="51" t="s">
        <v>133</v>
      </c>
      <c r="I63" s="51" t="s">
        <v>134</v>
      </c>
      <c r="J63" s="51" t="s">
        <v>6</v>
      </c>
      <c r="K63" s="51" t="s">
        <v>7</v>
      </c>
      <c r="L63" s="51" t="s">
        <v>8</v>
      </c>
    </row>
    <row r="64" spans="3:12" ht="27" customHeight="1" x14ac:dyDescent="0.3">
      <c r="C64" s="17"/>
      <c r="D64" s="18"/>
      <c r="E64" s="19"/>
      <c r="F64" s="17"/>
      <c r="G64" s="19">
        <v>0</v>
      </c>
      <c r="H64" s="20">
        <v>0</v>
      </c>
      <c r="I64" s="45">
        <v>0</v>
      </c>
      <c r="J64" s="52" t="s">
        <v>71</v>
      </c>
      <c r="K64" s="72">
        <f>ROUND(H64*(1-I64/100),2)</f>
        <v>0</v>
      </c>
      <c r="L64" s="73">
        <f t="shared" ref="L64:L67" si="4">K64*G64</f>
        <v>0</v>
      </c>
    </row>
    <row r="65" spans="3:12" ht="27" customHeight="1" x14ac:dyDescent="0.3">
      <c r="C65" s="17"/>
      <c r="D65" s="18"/>
      <c r="E65" s="19"/>
      <c r="F65" s="17"/>
      <c r="G65" s="19">
        <v>0</v>
      </c>
      <c r="H65" s="20">
        <v>0</v>
      </c>
      <c r="I65" s="45">
        <v>0</v>
      </c>
      <c r="J65" s="52" t="s">
        <v>71</v>
      </c>
      <c r="K65" s="72">
        <f t="shared" ref="K65:K68" si="5">ROUND(H65*(1-I65/100),2)</f>
        <v>0</v>
      </c>
      <c r="L65" s="73">
        <f t="shared" si="4"/>
        <v>0</v>
      </c>
    </row>
    <row r="66" spans="3:12" ht="27" customHeight="1" x14ac:dyDescent="0.3">
      <c r="C66" s="17"/>
      <c r="D66" s="18"/>
      <c r="E66" s="19"/>
      <c r="F66" s="17"/>
      <c r="G66" s="19">
        <v>0</v>
      </c>
      <c r="H66" s="20">
        <v>0</v>
      </c>
      <c r="I66" s="45">
        <v>0</v>
      </c>
      <c r="J66" s="52" t="s">
        <v>71</v>
      </c>
      <c r="K66" s="72">
        <f t="shared" si="5"/>
        <v>0</v>
      </c>
      <c r="L66" s="73">
        <f t="shared" si="4"/>
        <v>0</v>
      </c>
    </row>
    <row r="67" spans="3:12" ht="27" customHeight="1" x14ac:dyDescent="0.3">
      <c r="C67" s="17"/>
      <c r="D67" s="18"/>
      <c r="E67" s="19"/>
      <c r="F67" s="17"/>
      <c r="G67" s="19">
        <v>0</v>
      </c>
      <c r="H67" s="20">
        <v>0</v>
      </c>
      <c r="I67" s="45">
        <v>0</v>
      </c>
      <c r="J67" s="52" t="s">
        <v>71</v>
      </c>
      <c r="K67" s="72">
        <f t="shared" si="5"/>
        <v>0</v>
      </c>
      <c r="L67" s="73">
        <f t="shared" si="4"/>
        <v>0</v>
      </c>
    </row>
    <row r="68" spans="3:12" ht="27" customHeight="1" x14ac:dyDescent="0.3">
      <c r="C68" s="22"/>
      <c r="D68" s="23"/>
      <c r="E68" s="19"/>
      <c r="F68" s="24"/>
      <c r="G68" s="19">
        <v>0</v>
      </c>
      <c r="H68" s="20">
        <v>0</v>
      </c>
      <c r="I68" s="45">
        <v>0</v>
      </c>
      <c r="J68" s="52" t="s">
        <v>71</v>
      </c>
      <c r="K68" s="72">
        <f t="shared" si="5"/>
        <v>0</v>
      </c>
      <c r="L68" s="73">
        <f>K68*G68</f>
        <v>0</v>
      </c>
    </row>
    <row r="69" spans="3:12" ht="27" customHeight="1" x14ac:dyDescent="0.35">
      <c r="D69" s="15"/>
      <c r="E69" s="15"/>
      <c r="F69" s="15"/>
      <c r="G69" s="16">
        <f>SUM(G64+G65+G66+G67+G68)</f>
        <v>0</v>
      </c>
      <c r="H69" s="6"/>
      <c r="I69" s="6"/>
      <c r="J69" s="15"/>
      <c r="K69" s="42" t="s">
        <v>10</v>
      </c>
      <c r="L69" s="74">
        <f>SUM(L64:L68)</f>
        <v>0</v>
      </c>
    </row>
    <row r="70" spans="3:12" ht="27" customHeight="1" x14ac:dyDescent="0.35">
      <c r="C70" s="25" t="s">
        <v>151</v>
      </c>
      <c r="D70" s="15"/>
      <c r="E70" s="15"/>
      <c r="F70" s="15"/>
      <c r="G70" s="15"/>
      <c r="H70" s="15"/>
      <c r="I70" s="15"/>
      <c r="J70" s="15"/>
      <c r="K70" s="42" t="s">
        <v>22</v>
      </c>
      <c r="L70" s="75">
        <f>L69*10/100</f>
        <v>0</v>
      </c>
    </row>
    <row r="71" spans="3:12" ht="27" customHeight="1" x14ac:dyDescent="0.35">
      <c r="C71" s="26" t="s">
        <v>23</v>
      </c>
      <c r="D71" s="26" t="s">
        <v>24</v>
      </c>
      <c r="E71" s="26" t="s">
        <v>58</v>
      </c>
      <c r="F71" s="26"/>
      <c r="G71" s="26"/>
      <c r="H71" s="26"/>
      <c r="I71" s="26"/>
      <c r="J71" s="26"/>
      <c r="K71" s="42" t="s">
        <v>13</v>
      </c>
      <c r="L71" s="74">
        <f>L70+L69</f>
        <v>0</v>
      </c>
    </row>
    <row r="72" spans="3:12" ht="27" customHeight="1" x14ac:dyDescent="0.35">
      <c r="C72" s="26" t="s">
        <v>65</v>
      </c>
      <c r="D72" s="26" t="s">
        <v>53</v>
      </c>
      <c r="E72" s="26"/>
      <c r="F72" s="26"/>
      <c r="G72" s="26"/>
      <c r="H72" s="26"/>
      <c r="I72" s="26"/>
      <c r="J72" s="26"/>
      <c r="K72" s="27"/>
      <c r="L72" s="28"/>
    </row>
    <row r="73" spans="3:12" ht="27" customHeight="1" x14ac:dyDescent="0.35">
      <c r="C73" s="26" t="s">
        <v>52</v>
      </c>
      <c r="E73" s="26"/>
      <c r="F73" s="26"/>
      <c r="G73" s="26"/>
      <c r="H73" s="26"/>
      <c r="I73" s="26"/>
      <c r="J73" s="26"/>
      <c r="K73" s="27"/>
      <c r="L73" s="28"/>
    </row>
    <row r="74" spans="3:12" ht="27" customHeight="1" x14ac:dyDescent="0.35">
      <c r="C74" s="26" t="s">
        <v>66</v>
      </c>
      <c r="D74" s="26"/>
      <c r="E74" s="26"/>
      <c r="F74" s="26"/>
      <c r="G74" s="26"/>
      <c r="H74" s="26"/>
      <c r="I74" s="26"/>
      <c r="J74" s="26"/>
      <c r="K74" s="27"/>
      <c r="L74" s="28"/>
    </row>
    <row r="75" spans="3:12" ht="27" customHeight="1" x14ac:dyDescent="0.35">
      <c r="C75" s="26"/>
      <c r="D75" s="26"/>
      <c r="E75" s="26"/>
      <c r="F75" s="26"/>
      <c r="G75" s="26"/>
      <c r="H75" s="26"/>
      <c r="I75" s="26"/>
      <c r="J75" s="26"/>
      <c r="K75" s="27"/>
      <c r="L75" s="28"/>
    </row>
    <row r="76" spans="3:12" ht="27" customHeight="1" x14ac:dyDescent="0.35">
      <c r="C76" s="26"/>
      <c r="D76" s="26"/>
      <c r="E76" s="26"/>
      <c r="F76" s="26"/>
      <c r="G76" s="26"/>
      <c r="H76" s="26"/>
      <c r="I76" s="26"/>
      <c r="J76" s="26"/>
      <c r="K76" s="27"/>
      <c r="L76" s="28"/>
    </row>
    <row r="77" spans="3:12" ht="27" customHeight="1" x14ac:dyDescent="0.25">
      <c r="C77" s="111" t="s">
        <v>72</v>
      </c>
      <c r="D77" s="111"/>
      <c r="E77" s="111"/>
      <c r="F77" s="111"/>
      <c r="G77" s="111"/>
      <c r="H77" s="111"/>
      <c r="I77" s="111"/>
      <c r="J77" s="111"/>
      <c r="K77" s="111"/>
      <c r="L77" s="112"/>
    </row>
    <row r="78" spans="3:12" ht="27" customHeight="1" x14ac:dyDescent="0.25">
      <c r="C78" s="51" t="s">
        <v>1</v>
      </c>
      <c r="D78" s="51" t="s">
        <v>2</v>
      </c>
      <c r="E78" s="51" t="s">
        <v>69</v>
      </c>
      <c r="F78" s="51" t="s">
        <v>70</v>
      </c>
      <c r="G78" s="51" t="s">
        <v>5</v>
      </c>
      <c r="H78" s="51" t="s">
        <v>133</v>
      </c>
      <c r="I78" s="51" t="s">
        <v>134</v>
      </c>
      <c r="J78" s="51" t="s">
        <v>6</v>
      </c>
      <c r="K78" s="51" t="s">
        <v>7</v>
      </c>
      <c r="L78" s="51" t="s">
        <v>8</v>
      </c>
    </row>
    <row r="79" spans="3:12" ht="27" customHeight="1" x14ac:dyDescent="0.3">
      <c r="C79" s="17"/>
      <c r="D79" s="18"/>
      <c r="E79" s="19"/>
      <c r="F79" s="17"/>
      <c r="G79" s="19">
        <v>0</v>
      </c>
      <c r="H79" s="20">
        <v>0</v>
      </c>
      <c r="I79" s="45">
        <v>0</v>
      </c>
      <c r="J79" s="52" t="s">
        <v>73</v>
      </c>
      <c r="K79" s="72">
        <f>ROUND(H79*(1-I79/100),2)</f>
        <v>0</v>
      </c>
      <c r="L79" s="73">
        <f t="shared" ref="L79:L82" si="6">K79*G79</f>
        <v>0</v>
      </c>
    </row>
    <row r="80" spans="3:12" ht="27" customHeight="1" x14ac:dyDescent="0.3">
      <c r="C80" s="17"/>
      <c r="D80" s="18"/>
      <c r="E80" s="19"/>
      <c r="F80" s="17"/>
      <c r="G80" s="19">
        <v>0</v>
      </c>
      <c r="H80" s="20">
        <v>0</v>
      </c>
      <c r="I80" s="45">
        <v>0</v>
      </c>
      <c r="J80" s="52" t="s">
        <v>73</v>
      </c>
      <c r="K80" s="72">
        <f t="shared" ref="K80:K83" si="7">ROUND(H80*(1-I80/100),2)</f>
        <v>0</v>
      </c>
      <c r="L80" s="73">
        <f t="shared" si="6"/>
        <v>0</v>
      </c>
    </row>
    <row r="81" spans="3:12" ht="27" customHeight="1" x14ac:dyDescent="0.3">
      <c r="C81" s="17"/>
      <c r="D81" s="18"/>
      <c r="E81" s="19"/>
      <c r="F81" s="17"/>
      <c r="G81" s="19">
        <v>0</v>
      </c>
      <c r="H81" s="20">
        <v>0</v>
      </c>
      <c r="I81" s="45">
        <v>0</v>
      </c>
      <c r="J81" s="52" t="s">
        <v>74</v>
      </c>
      <c r="K81" s="72">
        <f t="shared" si="7"/>
        <v>0</v>
      </c>
      <c r="L81" s="73">
        <f t="shared" si="6"/>
        <v>0</v>
      </c>
    </row>
    <row r="82" spans="3:12" ht="27" customHeight="1" x14ac:dyDescent="0.3">
      <c r="C82" s="17"/>
      <c r="D82" s="18"/>
      <c r="E82" s="19"/>
      <c r="F82" s="17"/>
      <c r="G82" s="19">
        <v>0</v>
      </c>
      <c r="H82" s="20">
        <v>0</v>
      </c>
      <c r="I82" s="45">
        <v>0</v>
      </c>
      <c r="J82" s="52" t="s">
        <v>74</v>
      </c>
      <c r="K82" s="72">
        <f t="shared" si="7"/>
        <v>0</v>
      </c>
      <c r="L82" s="73">
        <f t="shared" si="6"/>
        <v>0</v>
      </c>
    </row>
    <row r="83" spans="3:12" ht="27" customHeight="1" x14ac:dyDescent="0.3">
      <c r="C83" s="22"/>
      <c r="D83" s="23"/>
      <c r="E83" s="19"/>
      <c r="F83" s="24"/>
      <c r="G83" s="19">
        <v>0</v>
      </c>
      <c r="H83" s="20">
        <v>0</v>
      </c>
      <c r="I83" s="45">
        <v>0</v>
      </c>
      <c r="J83" s="52" t="s">
        <v>73</v>
      </c>
      <c r="K83" s="72">
        <f t="shared" si="7"/>
        <v>0</v>
      </c>
      <c r="L83" s="73">
        <f>K83*G83</f>
        <v>0</v>
      </c>
    </row>
    <row r="84" spans="3:12" ht="27" customHeight="1" x14ac:dyDescent="0.35">
      <c r="D84" s="15"/>
      <c r="E84" s="15"/>
      <c r="F84" s="15"/>
      <c r="G84" s="16">
        <f>SUM(G79+G80+G81+G82+G83)</f>
        <v>0</v>
      </c>
      <c r="H84" s="6"/>
      <c r="I84" s="6"/>
      <c r="J84" s="15"/>
      <c r="K84" s="42" t="s">
        <v>10</v>
      </c>
      <c r="L84" s="74">
        <f>SUM(L79:L83)</f>
        <v>0</v>
      </c>
    </row>
    <row r="85" spans="3:12" ht="27" customHeight="1" x14ac:dyDescent="0.35">
      <c r="C85" s="25" t="s">
        <v>152</v>
      </c>
      <c r="D85" s="15"/>
      <c r="E85" s="15"/>
      <c r="F85" s="15"/>
      <c r="G85" s="15"/>
      <c r="H85" s="15"/>
      <c r="I85" s="15"/>
      <c r="J85" s="15"/>
      <c r="K85" s="42" t="s">
        <v>22</v>
      </c>
      <c r="L85" s="75">
        <f>L84*10/100</f>
        <v>0</v>
      </c>
    </row>
    <row r="86" spans="3:12" ht="27" customHeight="1" x14ac:dyDescent="0.35">
      <c r="C86" s="26" t="s">
        <v>23</v>
      </c>
      <c r="D86" s="26"/>
      <c r="E86" s="26" t="s">
        <v>57</v>
      </c>
      <c r="F86" s="26"/>
      <c r="G86" s="26"/>
      <c r="H86" s="26"/>
      <c r="I86" s="26"/>
      <c r="J86" s="26"/>
      <c r="K86" s="42" t="s">
        <v>13</v>
      </c>
      <c r="L86" s="74">
        <f>L85+L84</f>
        <v>0</v>
      </c>
    </row>
    <row r="87" spans="3:12" ht="27" customHeight="1" x14ac:dyDescent="0.35">
      <c r="C87" s="26" t="s">
        <v>54</v>
      </c>
      <c r="D87" s="26"/>
      <c r="E87" s="26" t="s">
        <v>58</v>
      </c>
      <c r="F87" s="26"/>
      <c r="G87" s="26"/>
      <c r="H87" s="26"/>
      <c r="I87" s="26"/>
      <c r="J87" s="26"/>
      <c r="K87" s="27"/>
      <c r="L87" s="28"/>
    </row>
    <row r="88" spans="3:12" ht="27" customHeight="1" x14ac:dyDescent="0.35">
      <c r="C88" s="26" t="s">
        <v>52</v>
      </c>
      <c r="E88" s="26" t="s">
        <v>67</v>
      </c>
      <c r="F88" s="26"/>
      <c r="G88" s="26"/>
      <c r="H88" s="26"/>
      <c r="I88" s="26"/>
      <c r="J88" s="26"/>
      <c r="K88" s="27"/>
      <c r="L88" s="28"/>
    </row>
    <row r="89" spans="3:12" ht="27" customHeight="1" x14ac:dyDescent="0.35">
      <c r="C89" s="26" t="s">
        <v>55</v>
      </c>
      <c r="D89" s="26"/>
      <c r="E89" s="26"/>
      <c r="F89" s="26"/>
      <c r="G89" s="26"/>
      <c r="H89" s="26"/>
      <c r="I89" s="26"/>
      <c r="J89" s="26"/>
      <c r="K89" s="27"/>
      <c r="L89" s="28"/>
    </row>
    <row r="90" spans="3:12" ht="27" customHeight="1" x14ac:dyDescent="0.35">
      <c r="C90" s="26" t="s">
        <v>56</v>
      </c>
      <c r="D90" s="26"/>
      <c r="E90" s="26"/>
      <c r="F90" s="26"/>
      <c r="G90" s="26"/>
      <c r="H90" s="26"/>
      <c r="I90" s="26"/>
      <c r="J90" s="26"/>
      <c r="K90" s="27"/>
      <c r="L90" s="28"/>
    </row>
    <row r="91" spans="3:12" ht="27" customHeight="1" x14ac:dyDescent="0.35">
      <c r="C91" s="26"/>
      <c r="D91" s="26"/>
      <c r="E91" s="26"/>
      <c r="F91" s="26"/>
      <c r="G91" s="26"/>
      <c r="H91" s="26"/>
      <c r="I91" s="26"/>
      <c r="J91" s="26"/>
      <c r="K91" s="27"/>
      <c r="L91" s="28"/>
    </row>
    <row r="92" spans="3:12" ht="27" customHeight="1" x14ac:dyDescent="0.35">
      <c r="C92" s="26"/>
      <c r="D92" s="26"/>
      <c r="E92" s="26"/>
      <c r="F92" s="26"/>
      <c r="G92" s="26"/>
      <c r="H92" s="26"/>
      <c r="I92" s="26"/>
      <c r="J92" s="26"/>
      <c r="K92" s="27"/>
      <c r="L92" s="28"/>
    </row>
    <row r="93" spans="3:12" ht="27" customHeight="1" x14ac:dyDescent="0.25">
      <c r="C93" s="111" t="s">
        <v>75</v>
      </c>
      <c r="D93" s="111"/>
      <c r="E93" s="111"/>
      <c r="F93" s="111"/>
      <c r="G93" s="111"/>
      <c r="H93" s="111"/>
      <c r="I93" s="111"/>
      <c r="J93" s="111"/>
      <c r="K93" s="111"/>
      <c r="L93" s="112"/>
    </row>
    <row r="94" spans="3:12" ht="27" customHeight="1" x14ac:dyDescent="0.25">
      <c r="C94" s="51" t="s">
        <v>1</v>
      </c>
      <c r="D94" s="51" t="s">
        <v>2</v>
      </c>
      <c r="E94" s="51" t="s">
        <v>69</v>
      </c>
      <c r="F94" s="51" t="s">
        <v>70</v>
      </c>
      <c r="G94" s="51" t="s">
        <v>5</v>
      </c>
      <c r="H94" s="51" t="s">
        <v>133</v>
      </c>
      <c r="I94" s="51" t="s">
        <v>134</v>
      </c>
      <c r="J94" s="51" t="s">
        <v>6</v>
      </c>
      <c r="K94" s="51" t="s">
        <v>7</v>
      </c>
      <c r="L94" s="51" t="s">
        <v>8</v>
      </c>
    </row>
    <row r="95" spans="3:12" ht="27" customHeight="1" x14ac:dyDescent="0.3">
      <c r="C95" s="17"/>
      <c r="D95" s="18"/>
      <c r="E95" s="19"/>
      <c r="F95" s="17"/>
      <c r="G95" s="19">
        <v>0</v>
      </c>
      <c r="H95" s="20">
        <v>0</v>
      </c>
      <c r="I95" s="45">
        <v>0</v>
      </c>
      <c r="J95" s="52" t="s">
        <v>9</v>
      </c>
      <c r="K95" s="72">
        <f>ROUND(H95*(1-I95/100),2)</f>
        <v>0</v>
      </c>
      <c r="L95" s="73">
        <f t="shared" ref="L95:L98" si="8">K95*G95</f>
        <v>0</v>
      </c>
    </row>
    <row r="96" spans="3:12" ht="27" customHeight="1" x14ac:dyDescent="0.3">
      <c r="C96" s="17"/>
      <c r="D96" s="18"/>
      <c r="E96" s="19"/>
      <c r="F96" s="17"/>
      <c r="G96" s="19">
        <v>0</v>
      </c>
      <c r="H96" s="20">
        <v>0</v>
      </c>
      <c r="I96" s="45">
        <v>0</v>
      </c>
      <c r="J96" s="52" t="s">
        <v>9</v>
      </c>
      <c r="K96" s="72">
        <f t="shared" ref="K96:K99" si="9">ROUND(H96*(1-I96/100),2)</f>
        <v>0</v>
      </c>
      <c r="L96" s="73">
        <f t="shared" si="8"/>
        <v>0</v>
      </c>
    </row>
    <row r="97" spans="3:12" ht="27" customHeight="1" x14ac:dyDescent="0.3">
      <c r="C97" s="17"/>
      <c r="D97" s="18"/>
      <c r="E97" s="19"/>
      <c r="F97" s="17"/>
      <c r="G97" s="19">
        <v>0</v>
      </c>
      <c r="H97" s="20">
        <v>0</v>
      </c>
      <c r="I97" s="45">
        <v>0</v>
      </c>
      <c r="J97" s="52" t="s">
        <v>9</v>
      </c>
      <c r="K97" s="72">
        <f t="shared" si="9"/>
        <v>0</v>
      </c>
      <c r="L97" s="73">
        <f t="shared" si="8"/>
        <v>0</v>
      </c>
    </row>
    <row r="98" spans="3:12" ht="27" customHeight="1" x14ac:dyDescent="0.3">
      <c r="C98" s="17"/>
      <c r="D98" s="18"/>
      <c r="E98" s="19"/>
      <c r="F98" s="17"/>
      <c r="G98" s="19">
        <v>0</v>
      </c>
      <c r="H98" s="20">
        <v>0</v>
      </c>
      <c r="I98" s="45">
        <v>0</v>
      </c>
      <c r="J98" s="52" t="s">
        <v>9</v>
      </c>
      <c r="K98" s="72">
        <f t="shared" si="9"/>
        <v>0</v>
      </c>
      <c r="L98" s="73">
        <f t="shared" si="8"/>
        <v>0</v>
      </c>
    </row>
    <row r="99" spans="3:12" ht="27" customHeight="1" x14ac:dyDescent="0.3">
      <c r="C99" s="22"/>
      <c r="D99" s="23"/>
      <c r="E99" s="19"/>
      <c r="F99" s="24"/>
      <c r="G99" s="19">
        <v>0</v>
      </c>
      <c r="H99" s="20">
        <v>0</v>
      </c>
      <c r="I99" s="45">
        <v>0</v>
      </c>
      <c r="J99" s="52" t="s">
        <v>9</v>
      </c>
      <c r="K99" s="72">
        <f t="shared" si="9"/>
        <v>0</v>
      </c>
      <c r="L99" s="73">
        <f>K99*G99</f>
        <v>0</v>
      </c>
    </row>
    <row r="100" spans="3:12" ht="27" customHeight="1" x14ac:dyDescent="0.35">
      <c r="D100" s="15"/>
      <c r="E100" s="15"/>
      <c r="F100" s="15"/>
      <c r="G100" s="16">
        <f>SUM(G95+G96+G97+G98+G99)</f>
        <v>0</v>
      </c>
      <c r="H100" s="6"/>
      <c r="I100" s="6"/>
      <c r="J100" s="15"/>
      <c r="K100" s="42" t="s">
        <v>10</v>
      </c>
      <c r="L100" s="74">
        <f>SUM(L95:L99)</f>
        <v>0</v>
      </c>
    </row>
    <row r="101" spans="3:12" ht="27" customHeight="1" x14ac:dyDescent="0.35">
      <c r="C101" s="25" t="s">
        <v>153</v>
      </c>
      <c r="D101" s="15"/>
      <c r="E101" s="15"/>
      <c r="F101" s="15"/>
      <c r="G101" s="15"/>
      <c r="H101" s="15"/>
      <c r="I101" s="15"/>
      <c r="J101" s="15"/>
      <c r="K101" s="42" t="s">
        <v>22</v>
      </c>
      <c r="L101" s="75">
        <f>L100*10/100</f>
        <v>0</v>
      </c>
    </row>
    <row r="102" spans="3:12" ht="27" customHeight="1" x14ac:dyDescent="0.35">
      <c r="C102" s="26" t="s">
        <v>23</v>
      </c>
      <c r="D102" s="26"/>
      <c r="E102" s="26" t="s">
        <v>60</v>
      </c>
      <c r="F102" s="26"/>
      <c r="G102" s="26"/>
      <c r="H102" s="26"/>
      <c r="I102" s="26"/>
      <c r="J102" s="26"/>
      <c r="K102" s="42" t="s">
        <v>13</v>
      </c>
      <c r="L102" s="74">
        <f>L101+L100</f>
        <v>0</v>
      </c>
    </row>
    <row r="103" spans="3:12" ht="27" customHeight="1" x14ac:dyDescent="0.35">
      <c r="C103" s="26" t="s">
        <v>68</v>
      </c>
      <c r="D103" s="26"/>
      <c r="E103" s="26" t="s">
        <v>61</v>
      </c>
      <c r="F103" s="26"/>
      <c r="G103" s="26"/>
      <c r="H103" s="26"/>
      <c r="I103" s="26"/>
      <c r="J103" s="26"/>
      <c r="K103" s="27"/>
      <c r="L103" s="28"/>
    </row>
    <row r="104" spans="3:12" ht="27" customHeight="1" x14ac:dyDescent="0.35">
      <c r="C104" s="26" t="s">
        <v>52</v>
      </c>
      <c r="D104" s="26"/>
      <c r="E104" s="26"/>
      <c r="F104" s="26"/>
      <c r="G104" s="26"/>
      <c r="H104" s="26"/>
      <c r="I104" s="26"/>
      <c r="J104" s="26"/>
      <c r="K104" s="27"/>
      <c r="L104" s="28"/>
    </row>
    <row r="105" spans="3:12" ht="27" customHeight="1" x14ac:dyDescent="0.35">
      <c r="C105" s="26" t="s">
        <v>59</v>
      </c>
      <c r="D105" s="26"/>
      <c r="E105" s="26"/>
      <c r="F105" s="26"/>
      <c r="G105" s="26"/>
      <c r="H105" s="26"/>
      <c r="I105" s="26"/>
      <c r="J105" s="26"/>
      <c r="K105" s="27"/>
      <c r="L105" s="28"/>
    </row>
    <row r="106" spans="3:12" ht="27" customHeight="1" x14ac:dyDescent="0.35">
      <c r="C106" s="26" t="s">
        <v>24</v>
      </c>
      <c r="D106" s="26"/>
      <c r="E106" s="26"/>
      <c r="F106" s="26"/>
      <c r="G106" s="26"/>
      <c r="H106" s="26"/>
      <c r="I106" s="26"/>
      <c r="J106" s="26"/>
      <c r="K106" s="27"/>
      <c r="L106" s="28"/>
    </row>
    <row r="107" spans="3:12" ht="27" customHeight="1" x14ac:dyDescent="0.35">
      <c r="C107" s="26"/>
      <c r="D107" s="26"/>
      <c r="E107" s="26"/>
      <c r="F107" s="26"/>
      <c r="G107" s="26"/>
      <c r="H107" s="26"/>
      <c r="I107" s="26"/>
      <c r="J107" s="26"/>
      <c r="K107" s="27"/>
      <c r="L107" s="28"/>
    </row>
    <row r="108" spans="3:12" ht="27" customHeight="1" x14ac:dyDescent="0.25">
      <c r="C108" s="111" t="s">
        <v>76</v>
      </c>
      <c r="D108" s="111"/>
      <c r="E108" s="111"/>
      <c r="F108" s="111"/>
      <c r="G108" s="111"/>
      <c r="H108" s="111"/>
      <c r="I108" s="111"/>
      <c r="J108" s="111"/>
      <c r="K108" s="111"/>
      <c r="L108" s="112"/>
    </row>
    <row r="109" spans="3:12" ht="27" customHeight="1" x14ac:dyDescent="0.25">
      <c r="C109" s="51" t="s">
        <v>1</v>
      </c>
      <c r="D109" s="51" t="s">
        <v>2</v>
      </c>
      <c r="E109" s="51" t="s">
        <v>77</v>
      </c>
      <c r="F109" s="51" t="s">
        <v>4</v>
      </c>
      <c r="G109" s="51" t="s">
        <v>5</v>
      </c>
      <c r="H109" s="51" t="s">
        <v>133</v>
      </c>
      <c r="I109" s="51" t="s">
        <v>134</v>
      </c>
      <c r="J109" s="51" t="s">
        <v>6</v>
      </c>
      <c r="K109" s="51" t="s">
        <v>7</v>
      </c>
      <c r="L109" s="51" t="s">
        <v>8</v>
      </c>
    </row>
    <row r="110" spans="3:12" ht="27" customHeight="1" x14ac:dyDescent="0.3">
      <c r="C110" s="17"/>
      <c r="D110" s="18"/>
      <c r="E110" s="19"/>
      <c r="F110" s="17"/>
      <c r="G110" s="19"/>
      <c r="H110" s="20">
        <v>0</v>
      </c>
      <c r="I110" s="45">
        <v>0</v>
      </c>
      <c r="J110" s="52" t="s">
        <v>9</v>
      </c>
      <c r="K110" s="72">
        <f>ROUND(H110*(1-I110/100),2)</f>
        <v>0</v>
      </c>
      <c r="L110" s="73">
        <f t="shared" ref="L110:L113" si="10">K110*G110</f>
        <v>0</v>
      </c>
    </row>
    <row r="111" spans="3:12" ht="27" customHeight="1" x14ac:dyDescent="0.3">
      <c r="C111" s="17"/>
      <c r="D111" s="18"/>
      <c r="E111" s="19"/>
      <c r="F111" s="17"/>
      <c r="G111" s="19"/>
      <c r="H111" s="20">
        <v>0</v>
      </c>
      <c r="I111" s="45">
        <v>0</v>
      </c>
      <c r="J111" s="52" t="s">
        <v>9</v>
      </c>
      <c r="K111" s="72">
        <f t="shared" ref="K111:K114" si="11">ROUND(H111*(1-I111/100),2)</f>
        <v>0</v>
      </c>
      <c r="L111" s="73">
        <f t="shared" si="10"/>
        <v>0</v>
      </c>
    </row>
    <row r="112" spans="3:12" ht="27" customHeight="1" x14ac:dyDescent="0.3">
      <c r="C112" s="17"/>
      <c r="D112" s="18"/>
      <c r="E112" s="19"/>
      <c r="F112" s="17"/>
      <c r="G112" s="19"/>
      <c r="H112" s="20">
        <v>0</v>
      </c>
      <c r="I112" s="45">
        <v>0</v>
      </c>
      <c r="J112" s="52" t="s">
        <v>9</v>
      </c>
      <c r="K112" s="72">
        <f t="shared" si="11"/>
        <v>0</v>
      </c>
      <c r="L112" s="73">
        <f t="shared" si="10"/>
        <v>0</v>
      </c>
    </row>
    <row r="113" spans="3:12" ht="27" customHeight="1" x14ac:dyDescent="0.3">
      <c r="C113" s="17"/>
      <c r="D113" s="18"/>
      <c r="E113" s="19"/>
      <c r="F113" s="17"/>
      <c r="G113" s="19"/>
      <c r="H113" s="20">
        <v>0</v>
      </c>
      <c r="I113" s="45">
        <v>0</v>
      </c>
      <c r="J113" s="52" t="s">
        <v>9</v>
      </c>
      <c r="K113" s="72">
        <f t="shared" si="11"/>
        <v>0</v>
      </c>
      <c r="L113" s="73">
        <f t="shared" si="10"/>
        <v>0</v>
      </c>
    </row>
    <row r="114" spans="3:12" ht="27" customHeight="1" x14ac:dyDescent="0.3">
      <c r="C114" s="22"/>
      <c r="D114" s="23"/>
      <c r="E114" s="19"/>
      <c r="F114" s="24"/>
      <c r="G114" s="19"/>
      <c r="H114" s="20">
        <v>0</v>
      </c>
      <c r="I114" s="45">
        <v>0</v>
      </c>
      <c r="J114" s="52" t="s">
        <v>9</v>
      </c>
      <c r="K114" s="72">
        <f t="shared" si="11"/>
        <v>0</v>
      </c>
      <c r="L114" s="73">
        <f>K114*G114</f>
        <v>0</v>
      </c>
    </row>
    <row r="115" spans="3:12" ht="27" customHeight="1" x14ac:dyDescent="0.35">
      <c r="D115" s="15"/>
      <c r="E115" s="15"/>
      <c r="F115" s="15"/>
      <c r="G115" s="16">
        <f>SUM(G110+G111+G112+G113+G114)</f>
        <v>0</v>
      </c>
      <c r="H115" s="6"/>
      <c r="I115" s="6"/>
      <c r="J115" s="15"/>
      <c r="K115" s="42" t="s">
        <v>10</v>
      </c>
      <c r="L115" s="74">
        <f>SUM(L110:L114)</f>
        <v>0</v>
      </c>
    </row>
    <row r="116" spans="3:12" ht="27" customHeight="1" x14ac:dyDescent="0.35">
      <c r="C116" s="25"/>
      <c r="D116" s="15"/>
      <c r="E116" s="15"/>
      <c r="F116" s="15"/>
      <c r="G116" s="15"/>
      <c r="H116" s="15"/>
      <c r="I116" s="15"/>
      <c r="J116" s="15"/>
      <c r="K116" s="42" t="s">
        <v>11</v>
      </c>
      <c r="L116" s="75">
        <f>L115*20/100</f>
        <v>0</v>
      </c>
    </row>
    <row r="117" spans="3:12" ht="27" customHeight="1" x14ac:dyDescent="0.35">
      <c r="C117" s="26"/>
      <c r="D117" s="26"/>
      <c r="E117" s="26"/>
      <c r="F117" s="26"/>
      <c r="G117" s="26"/>
      <c r="H117" s="26"/>
      <c r="I117" s="26"/>
      <c r="J117" s="26"/>
      <c r="K117" s="42" t="s">
        <v>13</v>
      </c>
      <c r="L117" s="74">
        <f>L116+L115</f>
        <v>0</v>
      </c>
    </row>
    <row r="118" spans="3:12" ht="27" customHeight="1" x14ac:dyDescent="0.35">
      <c r="C118" s="26"/>
      <c r="D118" s="26"/>
      <c r="E118" s="26"/>
      <c r="F118" s="26"/>
      <c r="G118" s="26"/>
      <c r="H118" s="26"/>
      <c r="I118" s="26"/>
      <c r="J118" s="26"/>
      <c r="K118" s="27"/>
      <c r="L118" s="29"/>
    </row>
    <row r="119" spans="3:12" ht="27" customHeight="1" x14ac:dyDescent="0.25">
      <c r="C119" s="111" t="s">
        <v>136</v>
      </c>
      <c r="D119" s="111"/>
      <c r="E119" s="111"/>
      <c r="F119" s="111"/>
      <c r="G119" s="111"/>
      <c r="H119" s="111"/>
      <c r="I119" s="111"/>
      <c r="J119" s="111"/>
      <c r="K119" s="111"/>
      <c r="L119" s="112"/>
    </row>
    <row r="120" spans="3:12" ht="27" customHeight="1" x14ac:dyDescent="0.25">
      <c r="C120" s="51" t="s">
        <v>1</v>
      </c>
      <c r="D120" s="51" t="s">
        <v>2</v>
      </c>
      <c r="E120" s="51" t="s">
        <v>137</v>
      </c>
      <c r="F120" s="51" t="s">
        <v>4</v>
      </c>
      <c r="G120" s="51" t="s">
        <v>5</v>
      </c>
      <c r="H120" s="51" t="s">
        <v>133</v>
      </c>
      <c r="I120" s="51" t="s">
        <v>134</v>
      </c>
      <c r="J120" s="51" t="s">
        <v>6</v>
      </c>
      <c r="K120" s="51" t="s">
        <v>7</v>
      </c>
      <c r="L120" s="51" t="s">
        <v>8</v>
      </c>
    </row>
    <row r="121" spans="3:12" ht="27" customHeight="1" x14ac:dyDescent="0.3">
      <c r="C121" s="17"/>
      <c r="D121" s="18"/>
      <c r="E121" s="19"/>
      <c r="F121" s="17"/>
      <c r="G121" s="19"/>
      <c r="H121" s="20">
        <v>0</v>
      </c>
      <c r="I121" s="45">
        <v>0</v>
      </c>
      <c r="J121" s="52" t="s">
        <v>9</v>
      </c>
      <c r="K121" s="72">
        <f>ROUND(H121*(1-I121/100),2)</f>
        <v>0</v>
      </c>
      <c r="L121" s="73">
        <f t="shared" ref="L121:L124" si="12">K121*G121</f>
        <v>0</v>
      </c>
    </row>
    <row r="122" spans="3:12" ht="27" customHeight="1" x14ac:dyDescent="0.3">
      <c r="C122" s="17"/>
      <c r="D122" s="18"/>
      <c r="E122" s="19"/>
      <c r="F122" s="17"/>
      <c r="G122" s="19"/>
      <c r="H122" s="20">
        <v>0</v>
      </c>
      <c r="I122" s="45">
        <v>0</v>
      </c>
      <c r="J122" s="52" t="s">
        <v>9</v>
      </c>
      <c r="K122" s="72">
        <f t="shared" ref="K122:K125" si="13">ROUND(H122*(1-I122/100),2)</f>
        <v>0</v>
      </c>
      <c r="L122" s="73">
        <f t="shared" si="12"/>
        <v>0</v>
      </c>
    </row>
    <row r="123" spans="3:12" ht="27" customHeight="1" x14ac:dyDescent="0.3">
      <c r="C123" s="17"/>
      <c r="D123" s="18"/>
      <c r="E123" s="19"/>
      <c r="F123" s="17"/>
      <c r="G123" s="19"/>
      <c r="H123" s="20">
        <v>0</v>
      </c>
      <c r="I123" s="45">
        <v>0</v>
      </c>
      <c r="J123" s="52" t="s">
        <v>9</v>
      </c>
      <c r="K123" s="72">
        <f t="shared" si="13"/>
        <v>0</v>
      </c>
      <c r="L123" s="73">
        <f t="shared" si="12"/>
        <v>0</v>
      </c>
    </row>
    <row r="124" spans="3:12" ht="27" customHeight="1" x14ac:dyDescent="0.3">
      <c r="C124" s="17"/>
      <c r="D124" s="18"/>
      <c r="E124" s="19"/>
      <c r="F124" s="17"/>
      <c r="G124" s="19"/>
      <c r="H124" s="20">
        <v>0</v>
      </c>
      <c r="I124" s="45">
        <v>0</v>
      </c>
      <c r="J124" s="52" t="s">
        <v>9</v>
      </c>
      <c r="K124" s="72">
        <f t="shared" si="13"/>
        <v>0</v>
      </c>
      <c r="L124" s="73">
        <f t="shared" si="12"/>
        <v>0</v>
      </c>
    </row>
    <row r="125" spans="3:12" ht="27" customHeight="1" x14ac:dyDescent="0.3">
      <c r="C125" s="22"/>
      <c r="D125" s="23"/>
      <c r="E125" s="19"/>
      <c r="F125" s="24"/>
      <c r="G125" s="19"/>
      <c r="H125" s="20">
        <v>0</v>
      </c>
      <c r="I125" s="45">
        <v>0</v>
      </c>
      <c r="J125" s="52" t="s">
        <v>9</v>
      </c>
      <c r="K125" s="72">
        <f t="shared" si="13"/>
        <v>0</v>
      </c>
      <c r="L125" s="73">
        <f>K125*G125</f>
        <v>0</v>
      </c>
    </row>
    <row r="126" spans="3:12" ht="27" customHeight="1" x14ac:dyDescent="0.35">
      <c r="D126" s="15"/>
      <c r="E126" s="15"/>
      <c r="F126" s="15"/>
      <c r="G126" s="16">
        <f>SUM(G121+G122+G123+G124+G125)</f>
        <v>0</v>
      </c>
      <c r="H126" s="6"/>
      <c r="I126" s="6"/>
      <c r="J126" s="15"/>
      <c r="K126" s="42" t="s">
        <v>10</v>
      </c>
      <c r="L126" s="74">
        <f>SUM(L121:L125)</f>
        <v>0</v>
      </c>
    </row>
    <row r="127" spans="3:12" ht="27" customHeight="1" x14ac:dyDescent="0.35">
      <c r="C127" s="25" t="s">
        <v>154</v>
      </c>
      <c r="D127" s="15"/>
      <c r="E127" s="15"/>
      <c r="F127" s="15"/>
      <c r="G127" s="15"/>
      <c r="H127" s="15"/>
      <c r="I127" s="15"/>
      <c r="J127" s="15"/>
      <c r="K127" s="42" t="s">
        <v>11</v>
      </c>
      <c r="L127" s="75">
        <f>L126*20/100</f>
        <v>0</v>
      </c>
    </row>
    <row r="128" spans="3:12" ht="27" customHeight="1" x14ac:dyDescent="0.35">
      <c r="C128" s="26" t="s">
        <v>155</v>
      </c>
      <c r="D128" s="26"/>
      <c r="E128" s="26" t="s">
        <v>157</v>
      </c>
      <c r="F128" s="26"/>
      <c r="G128" s="26"/>
      <c r="H128" s="26"/>
      <c r="I128" s="26"/>
      <c r="J128" s="26"/>
      <c r="K128" s="42" t="s">
        <v>13</v>
      </c>
      <c r="L128" s="74">
        <f>L127+L126</f>
        <v>0</v>
      </c>
    </row>
    <row r="129" spans="3:12" ht="27" customHeight="1" x14ac:dyDescent="0.35">
      <c r="C129" s="26" t="s">
        <v>156</v>
      </c>
      <c r="D129" s="26"/>
      <c r="E129" s="26"/>
      <c r="F129" s="26"/>
      <c r="G129" s="26"/>
      <c r="H129" s="26"/>
      <c r="I129" s="26"/>
      <c r="J129" s="26"/>
      <c r="K129" s="27"/>
      <c r="L129" s="29"/>
    </row>
    <row r="130" spans="3:12" ht="27" customHeight="1" x14ac:dyDescent="0.35">
      <c r="C130" s="26"/>
      <c r="D130" s="26"/>
      <c r="E130" s="26"/>
      <c r="F130" s="26"/>
      <c r="G130" s="26"/>
      <c r="H130" s="26"/>
      <c r="I130" s="26"/>
      <c r="J130" s="26"/>
      <c r="K130" s="27"/>
      <c r="L130" s="28"/>
    </row>
    <row r="131" spans="3:12" ht="27" customHeight="1" x14ac:dyDescent="0.25">
      <c r="C131" s="111" t="s">
        <v>78</v>
      </c>
      <c r="D131" s="111"/>
      <c r="E131" s="111"/>
      <c r="F131" s="111"/>
      <c r="G131" s="111"/>
      <c r="H131" s="111"/>
      <c r="I131" s="111"/>
      <c r="J131" s="111"/>
      <c r="K131" s="111"/>
      <c r="L131" s="112"/>
    </row>
    <row r="132" spans="3:12" ht="27" customHeight="1" x14ac:dyDescent="0.25">
      <c r="C132" s="51" t="s">
        <v>1</v>
      </c>
      <c r="D132" s="138" t="s">
        <v>2</v>
      </c>
      <c r="E132" s="139"/>
      <c r="F132" s="140"/>
      <c r="G132" s="51" t="s">
        <v>5</v>
      </c>
      <c r="H132" s="16"/>
      <c r="I132" s="16"/>
      <c r="J132" s="51" t="s">
        <v>6</v>
      </c>
      <c r="K132" s="51" t="s">
        <v>7</v>
      </c>
      <c r="L132" s="51" t="s">
        <v>8</v>
      </c>
    </row>
    <row r="133" spans="3:12" ht="27" customHeight="1" x14ac:dyDescent="0.3">
      <c r="C133" s="17"/>
      <c r="D133" s="135"/>
      <c r="E133" s="136"/>
      <c r="F133" s="137"/>
      <c r="G133" s="19"/>
      <c r="H133" s="19"/>
      <c r="I133" s="19"/>
      <c r="J133" s="52" t="s">
        <v>9</v>
      </c>
      <c r="K133" s="21">
        <v>0</v>
      </c>
      <c r="L133" s="73">
        <f t="shared" ref="L133:L147" si="14">K133*G133</f>
        <v>0</v>
      </c>
    </row>
    <row r="134" spans="3:12" ht="27" customHeight="1" x14ac:dyDescent="0.3">
      <c r="C134" s="17"/>
      <c r="D134" s="135"/>
      <c r="E134" s="136"/>
      <c r="F134" s="137"/>
      <c r="G134" s="19"/>
      <c r="H134" s="19"/>
      <c r="I134" s="19"/>
      <c r="J134" s="52" t="s">
        <v>9</v>
      </c>
      <c r="K134" s="21">
        <v>0</v>
      </c>
      <c r="L134" s="73">
        <f t="shared" si="14"/>
        <v>0</v>
      </c>
    </row>
    <row r="135" spans="3:12" ht="27" customHeight="1" x14ac:dyDescent="0.3">
      <c r="C135" s="17"/>
      <c r="D135" s="135"/>
      <c r="E135" s="136"/>
      <c r="F135" s="137"/>
      <c r="G135" s="19"/>
      <c r="H135" s="19"/>
      <c r="I135" s="19"/>
      <c r="J135" s="52" t="s">
        <v>9</v>
      </c>
      <c r="K135" s="21">
        <v>0</v>
      </c>
      <c r="L135" s="73">
        <f t="shared" si="14"/>
        <v>0</v>
      </c>
    </row>
    <row r="136" spans="3:12" ht="27" customHeight="1" x14ac:dyDescent="0.3">
      <c r="C136" s="17"/>
      <c r="D136" s="135"/>
      <c r="E136" s="136"/>
      <c r="F136" s="137"/>
      <c r="G136" s="19"/>
      <c r="H136" s="19"/>
      <c r="I136" s="19"/>
      <c r="J136" s="52" t="s">
        <v>9</v>
      </c>
      <c r="K136" s="21">
        <v>0</v>
      </c>
      <c r="L136" s="73">
        <f t="shared" si="14"/>
        <v>0</v>
      </c>
    </row>
    <row r="137" spans="3:12" ht="27" customHeight="1" x14ac:dyDescent="0.3">
      <c r="C137" s="17"/>
      <c r="D137" s="135"/>
      <c r="E137" s="136"/>
      <c r="F137" s="137"/>
      <c r="G137" s="19"/>
      <c r="H137" s="19"/>
      <c r="I137" s="19"/>
      <c r="J137" s="52" t="s">
        <v>9</v>
      </c>
      <c r="K137" s="21">
        <v>0</v>
      </c>
      <c r="L137" s="73">
        <f t="shared" si="14"/>
        <v>0</v>
      </c>
    </row>
    <row r="138" spans="3:12" ht="27" customHeight="1" x14ac:dyDescent="0.3">
      <c r="C138" s="17"/>
      <c r="D138" s="135"/>
      <c r="E138" s="136"/>
      <c r="F138" s="137"/>
      <c r="G138" s="19"/>
      <c r="H138" s="19"/>
      <c r="I138" s="19"/>
      <c r="J138" s="52" t="s">
        <v>9</v>
      </c>
      <c r="K138" s="21">
        <v>0</v>
      </c>
      <c r="L138" s="73">
        <f t="shared" si="14"/>
        <v>0</v>
      </c>
    </row>
    <row r="139" spans="3:12" ht="27" customHeight="1" x14ac:dyDescent="0.3">
      <c r="C139" s="17"/>
      <c r="D139" s="135"/>
      <c r="E139" s="136"/>
      <c r="F139" s="137"/>
      <c r="G139" s="19"/>
      <c r="H139" s="19"/>
      <c r="I139" s="19"/>
      <c r="J139" s="52" t="s">
        <v>9</v>
      </c>
      <c r="K139" s="21">
        <v>0</v>
      </c>
      <c r="L139" s="73">
        <f t="shared" si="14"/>
        <v>0</v>
      </c>
    </row>
    <row r="140" spans="3:12" ht="27" customHeight="1" x14ac:dyDescent="0.3">
      <c r="C140" s="17"/>
      <c r="D140" s="135"/>
      <c r="E140" s="136"/>
      <c r="F140" s="137"/>
      <c r="G140" s="19"/>
      <c r="H140" s="19"/>
      <c r="I140" s="19"/>
      <c r="J140" s="52" t="s">
        <v>9</v>
      </c>
      <c r="K140" s="21">
        <v>0</v>
      </c>
      <c r="L140" s="73">
        <f t="shared" si="14"/>
        <v>0</v>
      </c>
    </row>
    <row r="141" spans="3:12" ht="27" customHeight="1" x14ac:dyDescent="0.3">
      <c r="C141" s="17"/>
      <c r="D141" s="135"/>
      <c r="E141" s="136"/>
      <c r="F141" s="137"/>
      <c r="G141" s="19"/>
      <c r="H141" s="19"/>
      <c r="I141" s="19"/>
      <c r="J141" s="52" t="s">
        <v>9</v>
      </c>
      <c r="K141" s="21">
        <v>0</v>
      </c>
      <c r="L141" s="73">
        <f t="shared" si="14"/>
        <v>0</v>
      </c>
    </row>
    <row r="142" spans="3:12" ht="27" customHeight="1" x14ac:dyDescent="0.3">
      <c r="C142" s="17"/>
      <c r="D142" s="135"/>
      <c r="E142" s="136"/>
      <c r="F142" s="137"/>
      <c r="G142" s="19"/>
      <c r="H142" s="19"/>
      <c r="I142" s="19"/>
      <c r="J142" s="52" t="s">
        <v>9</v>
      </c>
      <c r="K142" s="21">
        <v>0</v>
      </c>
      <c r="L142" s="73">
        <f t="shared" si="14"/>
        <v>0</v>
      </c>
    </row>
    <row r="143" spans="3:12" ht="27" customHeight="1" x14ac:dyDescent="0.3">
      <c r="C143" s="17"/>
      <c r="D143" s="135"/>
      <c r="E143" s="136"/>
      <c r="F143" s="137"/>
      <c r="G143" s="19"/>
      <c r="H143" s="19"/>
      <c r="I143" s="19"/>
      <c r="J143" s="52" t="s">
        <v>9</v>
      </c>
      <c r="K143" s="21">
        <v>0</v>
      </c>
      <c r="L143" s="73">
        <f t="shared" si="14"/>
        <v>0</v>
      </c>
    </row>
    <row r="144" spans="3:12" ht="27" customHeight="1" x14ac:dyDescent="0.3">
      <c r="C144" s="17"/>
      <c r="D144" s="135"/>
      <c r="E144" s="136"/>
      <c r="F144" s="137"/>
      <c r="G144" s="19"/>
      <c r="H144" s="19"/>
      <c r="I144" s="19"/>
      <c r="J144" s="52" t="s">
        <v>9</v>
      </c>
      <c r="K144" s="21">
        <v>0</v>
      </c>
      <c r="L144" s="73">
        <f t="shared" si="14"/>
        <v>0</v>
      </c>
    </row>
    <row r="145" spans="3:12" ht="27" customHeight="1" x14ac:dyDescent="0.3">
      <c r="C145" s="17"/>
      <c r="D145" s="135"/>
      <c r="E145" s="136"/>
      <c r="F145" s="137"/>
      <c r="G145" s="19"/>
      <c r="H145" s="19"/>
      <c r="I145" s="19"/>
      <c r="J145" s="52" t="s">
        <v>9</v>
      </c>
      <c r="K145" s="21">
        <v>0</v>
      </c>
      <c r="L145" s="73">
        <f t="shared" si="14"/>
        <v>0</v>
      </c>
    </row>
    <row r="146" spans="3:12" ht="27" customHeight="1" x14ac:dyDescent="0.3">
      <c r="C146" s="17"/>
      <c r="D146" s="135"/>
      <c r="E146" s="136"/>
      <c r="F146" s="137"/>
      <c r="G146" s="19"/>
      <c r="H146" s="19"/>
      <c r="I146" s="19"/>
      <c r="J146" s="52" t="s">
        <v>9</v>
      </c>
      <c r="K146" s="21">
        <v>0</v>
      </c>
      <c r="L146" s="73">
        <f t="shared" si="14"/>
        <v>0</v>
      </c>
    </row>
    <row r="147" spans="3:12" ht="27" customHeight="1" x14ac:dyDescent="0.3">
      <c r="C147" s="22"/>
      <c r="D147" s="135"/>
      <c r="E147" s="136"/>
      <c r="F147" s="137"/>
      <c r="G147" s="19"/>
      <c r="H147" s="19"/>
      <c r="I147" s="19"/>
      <c r="J147" s="52" t="s">
        <v>9</v>
      </c>
      <c r="K147" s="21">
        <v>0</v>
      </c>
      <c r="L147" s="73">
        <f t="shared" si="14"/>
        <v>0</v>
      </c>
    </row>
    <row r="148" spans="3:12" ht="27" customHeight="1" x14ac:dyDescent="0.35">
      <c r="D148" s="15"/>
      <c r="E148" s="15"/>
      <c r="F148" s="15"/>
      <c r="G148" s="16">
        <f>SUM(G133:G147)</f>
        <v>0</v>
      </c>
      <c r="H148" s="6"/>
      <c r="I148" s="6"/>
      <c r="J148" s="15"/>
      <c r="K148" s="42" t="s">
        <v>10</v>
      </c>
      <c r="L148" s="74">
        <f>SUM(L133:L147)</f>
        <v>0</v>
      </c>
    </row>
    <row r="149" spans="3:12" ht="27" customHeight="1" x14ac:dyDescent="0.35">
      <c r="C149" s="25"/>
      <c r="D149" s="15"/>
      <c r="E149" s="15"/>
      <c r="F149" s="15"/>
      <c r="G149" s="15"/>
      <c r="H149" s="15"/>
      <c r="I149" s="15"/>
      <c r="J149" s="15"/>
      <c r="K149" s="42" t="s">
        <v>11</v>
      </c>
      <c r="L149" s="75">
        <f>L148*20/100</f>
        <v>0</v>
      </c>
    </row>
    <row r="150" spans="3:12" ht="27" customHeight="1" x14ac:dyDescent="0.35">
      <c r="C150" s="25" t="s">
        <v>158</v>
      </c>
      <c r="D150" s="15"/>
      <c r="E150" s="15"/>
      <c r="F150" s="26"/>
      <c r="G150" s="26"/>
      <c r="H150" s="26"/>
      <c r="I150" s="26"/>
      <c r="J150" s="26"/>
      <c r="K150" s="42" t="s">
        <v>13</v>
      </c>
      <c r="L150" s="74">
        <f>L149+L148</f>
        <v>0</v>
      </c>
    </row>
    <row r="151" spans="3:12" ht="27" customHeight="1" x14ac:dyDescent="0.35">
      <c r="C151" s="26" t="s">
        <v>62</v>
      </c>
      <c r="D151" s="26"/>
      <c r="E151" s="26" t="s">
        <v>64</v>
      </c>
      <c r="F151" s="26"/>
      <c r="G151" s="26"/>
      <c r="H151" s="26"/>
      <c r="I151" s="26"/>
      <c r="J151" s="26"/>
      <c r="K151" s="27"/>
      <c r="L151" s="29"/>
    </row>
    <row r="152" spans="3:12" ht="27" customHeight="1" x14ac:dyDescent="0.35">
      <c r="C152" s="26" t="s">
        <v>63</v>
      </c>
      <c r="D152" s="26"/>
      <c r="E152" s="26" t="s">
        <v>79</v>
      </c>
      <c r="F152" s="26"/>
      <c r="G152" s="26"/>
      <c r="H152" s="26"/>
      <c r="I152" s="26"/>
      <c r="J152" s="26"/>
      <c r="K152" s="27"/>
      <c r="L152" s="29"/>
    </row>
    <row r="153" spans="3:12" ht="27" customHeight="1" thickBot="1" x14ac:dyDescent="0.4">
      <c r="C153" s="26"/>
      <c r="D153" s="26"/>
      <c r="E153" s="26"/>
      <c r="F153" s="26"/>
      <c r="G153" s="26"/>
      <c r="H153" s="26"/>
      <c r="I153" s="26"/>
      <c r="J153" s="26"/>
      <c r="K153" s="27"/>
      <c r="L153" s="29"/>
    </row>
    <row r="154" spans="3:12" ht="27" customHeight="1" thickBot="1" x14ac:dyDescent="0.4">
      <c r="C154" s="26"/>
      <c r="D154" s="26"/>
      <c r="E154" s="26"/>
      <c r="F154" s="146" t="s">
        <v>125</v>
      </c>
      <c r="G154" s="147"/>
      <c r="H154" s="147"/>
      <c r="I154" s="147"/>
      <c r="J154" s="148"/>
      <c r="K154" s="27"/>
      <c r="L154" s="29"/>
    </row>
    <row r="155" spans="3:12" ht="27" customHeight="1" thickBot="1" x14ac:dyDescent="0.35">
      <c r="C155" s="141" t="s">
        <v>80</v>
      </c>
      <c r="D155" s="142"/>
      <c r="E155" s="26"/>
      <c r="F155" s="143" t="s">
        <v>122</v>
      </c>
      <c r="G155" s="144"/>
      <c r="H155" s="144"/>
      <c r="I155" s="144"/>
      <c r="J155" s="145"/>
      <c r="L155" s="30"/>
    </row>
    <row r="156" spans="3:12" ht="27" customHeight="1" x14ac:dyDescent="0.25">
      <c r="C156" s="53" t="s">
        <v>81</v>
      </c>
      <c r="D156" s="31">
        <f>L43</f>
        <v>0</v>
      </c>
      <c r="E156" s="26"/>
      <c r="F156" s="143" t="s">
        <v>124</v>
      </c>
      <c r="G156" s="144"/>
      <c r="H156" s="144"/>
      <c r="I156" s="144"/>
      <c r="J156" s="145"/>
    </row>
    <row r="157" spans="3:12" ht="27" customHeight="1" thickBot="1" x14ac:dyDescent="0.3">
      <c r="C157" s="54" t="s">
        <v>82</v>
      </c>
      <c r="D157" s="32">
        <f>L57</f>
        <v>0</v>
      </c>
      <c r="E157" s="33"/>
      <c r="F157" s="153" t="s">
        <v>123</v>
      </c>
      <c r="G157" s="154"/>
      <c r="H157" s="154"/>
      <c r="I157" s="154"/>
      <c r="J157" s="155"/>
      <c r="K157" s="26"/>
      <c r="L157" s="26"/>
    </row>
    <row r="158" spans="3:12" ht="27" customHeight="1" thickBot="1" x14ac:dyDescent="0.3">
      <c r="C158" s="54" t="s">
        <v>83</v>
      </c>
      <c r="D158" s="32">
        <f>L71</f>
        <v>0</v>
      </c>
      <c r="E158" s="33"/>
      <c r="F158" s="33"/>
      <c r="G158" s="26"/>
      <c r="H158" s="26"/>
      <c r="I158" s="26"/>
      <c r="J158" s="26"/>
      <c r="K158" s="26"/>
      <c r="L158" s="26"/>
    </row>
    <row r="159" spans="3:12" ht="27" customHeight="1" thickBot="1" x14ac:dyDescent="0.3">
      <c r="C159" s="54" t="s">
        <v>84</v>
      </c>
      <c r="D159" s="32">
        <f>L86</f>
        <v>0</v>
      </c>
      <c r="E159" s="33"/>
      <c r="F159" s="161" t="s">
        <v>126</v>
      </c>
      <c r="G159" s="162"/>
      <c r="H159" s="162"/>
      <c r="I159" s="163"/>
    </row>
    <row r="160" spans="3:12" ht="27" customHeight="1" x14ac:dyDescent="0.25">
      <c r="C160" s="54" t="s">
        <v>75</v>
      </c>
      <c r="D160" s="32">
        <f>L102</f>
        <v>0</v>
      </c>
      <c r="E160" s="33"/>
      <c r="F160" s="156" t="s">
        <v>141</v>
      </c>
      <c r="G160" s="157"/>
      <c r="H160" s="34"/>
      <c r="I160" s="44"/>
    </row>
    <row r="161" spans="3:13" ht="27" customHeight="1" x14ac:dyDescent="0.25">
      <c r="C161" s="54" t="s">
        <v>85</v>
      </c>
      <c r="D161" s="32">
        <f>L117</f>
        <v>0</v>
      </c>
      <c r="E161" s="26"/>
      <c r="F161" s="143" t="s">
        <v>127</v>
      </c>
      <c r="G161" s="144"/>
      <c r="H161" s="144" t="s">
        <v>144</v>
      </c>
      <c r="I161" s="145"/>
      <c r="K161" s="1" t="s">
        <v>142</v>
      </c>
      <c r="M161" s="34"/>
    </row>
    <row r="162" spans="3:13" ht="27" customHeight="1" x14ac:dyDescent="0.25">
      <c r="C162" s="54" t="s">
        <v>138</v>
      </c>
      <c r="D162" s="32">
        <f>L128</f>
        <v>0</v>
      </c>
      <c r="E162" s="26"/>
      <c r="F162" s="143" t="s">
        <v>143</v>
      </c>
      <c r="G162" s="144"/>
      <c r="H162" s="144" t="s">
        <v>146</v>
      </c>
      <c r="I162" s="145"/>
      <c r="M162" s="34"/>
    </row>
    <row r="163" spans="3:13" ht="27" customHeight="1" thickBot="1" x14ac:dyDescent="0.3">
      <c r="C163" s="54" t="s">
        <v>86</v>
      </c>
      <c r="D163" s="32">
        <f>L150</f>
        <v>0</v>
      </c>
      <c r="E163" s="26"/>
      <c r="F163" s="43" t="s">
        <v>142</v>
      </c>
      <c r="G163" s="34"/>
      <c r="H163" s="34"/>
      <c r="I163" s="44"/>
      <c r="K163" s="1" t="s">
        <v>145</v>
      </c>
    </row>
    <row r="164" spans="3:13" ht="27" customHeight="1" thickBot="1" x14ac:dyDescent="0.4">
      <c r="C164" s="55" t="s">
        <v>87</v>
      </c>
      <c r="D164" s="35">
        <f>SUM(D156:D163)</f>
        <v>0</v>
      </c>
      <c r="E164" s="26"/>
      <c r="F164" s="158" t="s">
        <v>128</v>
      </c>
      <c r="G164" s="159"/>
      <c r="H164" s="159"/>
      <c r="I164" s="160"/>
    </row>
    <row r="165" spans="3:13" ht="27" customHeight="1" thickBot="1" x14ac:dyDescent="0.3">
      <c r="C165" s="36"/>
      <c r="D165" s="26"/>
      <c r="E165" s="26"/>
      <c r="F165" s="161" t="s">
        <v>132</v>
      </c>
      <c r="G165" s="162"/>
      <c r="H165" s="162"/>
      <c r="I165" s="163"/>
    </row>
    <row r="166" spans="3:13" ht="27" customHeight="1" x14ac:dyDescent="0.3">
      <c r="C166" s="36"/>
      <c r="D166" s="26"/>
      <c r="E166" s="26"/>
      <c r="F166" s="37"/>
      <c r="G166" s="37"/>
      <c r="H166" s="37"/>
      <c r="I166" s="37"/>
      <c r="J166" s="37"/>
      <c r="K166" s="37"/>
      <c r="L166" s="29"/>
    </row>
    <row r="167" spans="3:13" ht="27" customHeight="1" x14ac:dyDescent="0.25">
      <c r="C167" s="167" t="s">
        <v>147</v>
      </c>
      <c r="D167" s="167"/>
      <c r="E167" s="167"/>
      <c r="F167" s="167"/>
      <c r="G167" s="167"/>
      <c r="H167" s="167"/>
      <c r="I167" s="167"/>
      <c r="J167" s="167"/>
      <c r="K167" s="167"/>
      <c r="L167" s="167"/>
    </row>
    <row r="168" spans="3:13" ht="27" customHeight="1" x14ac:dyDescent="0.3">
      <c r="C168" s="36"/>
      <c r="D168" s="26"/>
      <c r="E168" s="26"/>
      <c r="F168" s="37"/>
      <c r="G168" s="37"/>
      <c r="H168" s="37"/>
      <c r="I168" s="37"/>
      <c r="J168" s="37"/>
      <c r="K168" s="37"/>
      <c r="L168" s="29"/>
    </row>
    <row r="169" spans="3:13" ht="27" customHeight="1" x14ac:dyDescent="0.25">
      <c r="C169" s="164" t="s">
        <v>25</v>
      </c>
      <c r="D169" s="164"/>
      <c r="E169" s="164"/>
      <c r="F169" s="164"/>
      <c r="G169" s="164"/>
      <c r="H169" s="164"/>
      <c r="I169" s="164"/>
      <c r="J169" s="164"/>
      <c r="K169" s="164"/>
      <c r="L169" s="165"/>
    </row>
    <row r="170" spans="3:13" ht="27" customHeight="1" x14ac:dyDescent="0.35">
      <c r="C170" s="56" t="s">
        <v>26</v>
      </c>
      <c r="D170" s="57"/>
      <c r="E170" s="57"/>
      <c r="F170" s="58"/>
      <c r="G170" s="26"/>
      <c r="H170" s="26"/>
      <c r="I170" s="26"/>
      <c r="J170" s="26"/>
      <c r="K170" s="27"/>
      <c r="L170" s="29"/>
    </row>
    <row r="171" spans="3:13" ht="27" customHeight="1" x14ac:dyDescent="0.35">
      <c r="C171" s="56" t="s">
        <v>27</v>
      </c>
      <c r="D171" s="57"/>
      <c r="E171" s="57"/>
      <c r="F171" s="58"/>
      <c r="G171" s="26"/>
      <c r="H171" s="26"/>
      <c r="I171" s="26"/>
      <c r="J171" s="26"/>
      <c r="K171" s="27"/>
      <c r="L171" s="29"/>
    </row>
    <row r="172" spans="3:13" ht="27" customHeight="1" x14ac:dyDescent="0.35">
      <c r="C172" s="56" t="s">
        <v>28</v>
      </c>
      <c r="D172" s="57"/>
      <c r="E172" s="57"/>
      <c r="F172" s="58"/>
      <c r="G172" s="26"/>
      <c r="H172" s="26"/>
      <c r="I172" s="26"/>
      <c r="J172" s="26"/>
      <c r="K172" s="27"/>
      <c r="L172" s="29"/>
    </row>
    <row r="173" spans="3:13" ht="27" customHeight="1" x14ac:dyDescent="0.35">
      <c r="C173" s="56" t="s">
        <v>29</v>
      </c>
      <c r="D173" s="57"/>
      <c r="E173" s="57"/>
      <c r="F173" s="58"/>
      <c r="G173" s="26"/>
      <c r="H173" s="26"/>
      <c r="I173" s="26"/>
      <c r="J173" s="26"/>
      <c r="K173" s="27"/>
      <c r="L173" s="29"/>
    </row>
    <row r="174" spans="3:13" ht="27" customHeight="1" x14ac:dyDescent="0.35">
      <c r="C174" s="56" t="s">
        <v>30</v>
      </c>
      <c r="D174" s="57"/>
      <c r="E174" s="57"/>
      <c r="F174" s="58"/>
      <c r="G174" s="26"/>
      <c r="H174" s="26"/>
      <c r="I174" s="26"/>
      <c r="J174" s="26"/>
      <c r="K174" s="27"/>
      <c r="L174" s="29"/>
    </row>
    <row r="175" spans="3:13" ht="27" customHeight="1" x14ac:dyDescent="0.35">
      <c r="C175" s="56" t="s">
        <v>31</v>
      </c>
      <c r="D175" s="57"/>
      <c r="E175" s="57"/>
      <c r="F175" s="58"/>
      <c r="G175" s="26"/>
      <c r="H175" s="26"/>
      <c r="I175" s="26"/>
      <c r="J175" s="26"/>
      <c r="K175" s="27"/>
      <c r="L175" s="29"/>
    </row>
    <row r="176" spans="3:13" ht="27" customHeight="1" x14ac:dyDescent="0.35">
      <c r="C176" s="56" t="s">
        <v>32</v>
      </c>
      <c r="D176" s="57"/>
      <c r="E176" s="57"/>
      <c r="F176" s="58"/>
      <c r="G176" s="26"/>
      <c r="H176" s="26"/>
      <c r="I176" s="26"/>
      <c r="J176" s="26"/>
      <c r="K176" s="27"/>
      <c r="L176" s="29"/>
    </row>
    <row r="177" spans="3:12" ht="50.25" customHeight="1" x14ac:dyDescent="0.35">
      <c r="C177" s="166" t="s">
        <v>131</v>
      </c>
      <c r="D177" s="166"/>
      <c r="E177" s="166"/>
      <c r="F177" s="166"/>
      <c r="G177" s="26"/>
      <c r="H177" s="26"/>
      <c r="I177" s="26"/>
      <c r="J177" s="26"/>
      <c r="K177" s="27"/>
      <c r="L177" s="29"/>
    </row>
    <row r="178" spans="3:12" ht="27" customHeight="1" x14ac:dyDescent="0.35">
      <c r="C178" s="56" t="s">
        <v>129</v>
      </c>
      <c r="D178" s="57"/>
      <c r="E178" s="57"/>
      <c r="F178" s="58"/>
      <c r="G178" s="26"/>
      <c r="H178" s="26"/>
      <c r="I178" s="26"/>
      <c r="J178" s="26"/>
      <c r="K178" s="27"/>
      <c r="L178" s="29"/>
    </row>
    <row r="179" spans="3:12" ht="27" customHeight="1" x14ac:dyDescent="0.35">
      <c r="C179" s="56" t="s">
        <v>130</v>
      </c>
      <c r="D179" s="57"/>
      <c r="E179" s="57"/>
      <c r="F179" s="58"/>
      <c r="G179" s="26"/>
      <c r="H179" s="26"/>
      <c r="I179" s="26"/>
      <c r="J179" s="26"/>
      <c r="K179" s="27"/>
      <c r="L179" s="29"/>
    </row>
    <row r="180" spans="3:12" ht="27" customHeight="1" x14ac:dyDescent="0.35">
      <c r="C180" s="38"/>
      <c r="D180" s="26"/>
      <c r="E180" s="26"/>
      <c r="F180" s="39"/>
      <c r="G180" s="26"/>
      <c r="H180" s="26"/>
      <c r="I180" s="26"/>
      <c r="J180" s="26"/>
      <c r="K180" s="27"/>
      <c r="L180" s="29"/>
    </row>
    <row r="181" spans="3:12" ht="27" customHeight="1" x14ac:dyDescent="0.35">
      <c r="C181" s="38"/>
      <c r="D181" s="26"/>
      <c r="E181" s="26"/>
      <c r="F181" s="39"/>
      <c r="G181" s="26"/>
      <c r="H181" s="26"/>
      <c r="I181" s="26"/>
      <c r="J181" s="26"/>
      <c r="K181" s="27"/>
      <c r="L181" s="29"/>
    </row>
    <row r="182" spans="3:12" ht="27" customHeight="1" x14ac:dyDescent="0.35">
      <c r="C182" s="38"/>
      <c r="D182" s="26"/>
      <c r="E182" s="26"/>
      <c r="F182" s="39"/>
      <c r="G182" s="26"/>
      <c r="H182" s="26"/>
      <c r="I182" s="26"/>
      <c r="J182" s="26"/>
      <c r="K182" s="27"/>
      <c r="L182" s="29"/>
    </row>
    <row r="183" spans="3:12" ht="27" customHeight="1" x14ac:dyDescent="0.35">
      <c r="C183" s="38"/>
      <c r="D183" s="26"/>
      <c r="E183" s="26"/>
      <c r="F183" s="39"/>
      <c r="G183" s="26"/>
      <c r="H183" s="26"/>
      <c r="I183" s="26"/>
      <c r="J183" s="26"/>
      <c r="K183" s="27"/>
      <c r="L183" s="29"/>
    </row>
    <row r="184" spans="3:12" ht="27" customHeight="1" x14ac:dyDescent="0.35">
      <c r="D184" s="26"/>
      <c r="E184" s="26"/>
      <c r="F184" s="26"/>
      <c r="G184" s="26"/>
      <c r="H184" s="26"/>
      <c r="I184" s="26"/>
      <c r="J184" s="26"/>
      <c r="K184" s="27"/>
      <c r="L184" s="29"/>
    </row>
    <row r="185" spans="3:12" ht="27" customHeight="1" x14ac:dyDescent="0.25">
      <c r="C185" s="111" t="s">
        <v>89</v>
      </c>
      <c r="D185" s="111"/>
      <c r="E185" s="111"/>
      <c r="F185" s="111"/>
      <c r="G185" s="111"/>
      <c r="H185" s="111"/>
      <c r="I185" s="111"/>
      <c r="J185" s="111"/>
      <c r="K185" s="111"/>
      <c r="L185" s="112"/>
    </row>
    <row r="186" spans="3:12" ht="27" customHeight="1" thickBot="1" x14ac:dyDescent="0.35">
      <c r="C186" s="59"/>
      <c r="D186" s="59"/>
      <c r="E186" s="57"/>
      <c r="F186" s="57"/>
      <c r="G186" s="59"/>
      <c r="H186" s="59"/>
      <c r="I186" s="59"/>
      <c r="J186" s="59"/>
      <c r="K186" s="59"/>
      <c r="L186" s="60"/>
    </row>
    <row r="187" spans="3:12" ht="27" customHeight="1" x14ac:dyDescent="0.3">
      <c r="C187" s="149" t="s">
        <v>90</v>
      </c>
      <c r="D187" s="150"/>
      <c r="E187" s="61"/>
      <c r="F187" s="62"/>
      <c r="G187" s="151" t="s">
        <v>41</v>
      </c>
      <c r="H187" s="151"/>
      <c r="I187" s="151"/>
      <c r="J187" s="151"/>
      <c r="K187" s="151"/>
      <c r="L187" s="152"/>
    </row>
    <row r="188" spans="3:12" ht="27" customHeight="1" x14ac:dyDescent="0.25">
      <c r="C188" s="63" t="s">
        <v>33</v>
      </c>
      <c r="D188" s="64" t="s">
        <v>44</v>
      </c>
      <c r="E188" s="65"/>
      <c r="F188" s="66"/>
      <c r="G188" s="171" t="s">
        <v>42</v>
      </c>
      <c r="H188" s="171"/>
      <c r="I188" s="171"/>
      <c r="J188" s="171"/>
      <c r="K188" s="171"/>
      <c r="L188" s="172"/>
    </row>
    <row r="189" spans="3:12" ht="27" customHeight="1" x14ac:dyDescent="0.25">
      <c r="C189" s="63" t="s">
        <v>34</v>
      </c>
      <c r="D189" s="64" t="s">
        <v>46</v>
      </c>
      <c r="E189" s="65"/>
      <c r="F189" s="66"/>
      <c r="G189" s="171" t="s">
        <v>38</v>
      </c>
      <c r="H189" s="171"/>
      <c r="I189" s="171"/>
      <c r="J189" s="171"/>
      <c r="K189" s="171"/>
      <c r="L189" s="172"/>
    </row>
    <row r="190" spans="3:12" ht="27" customHeight="1" x14ac:dyDescent="0.25">
      <c r="C190" s="63" t="s">
        <v>35</v>
      </c>
      <c r="D190" s="64" t="s">
        <v>43</v>
      </c>
      <c r="E190" s="65"/>
      <c r="F190" s="66"/>
      <c r="G190" s="171" t="s">
        <v>39</v>
      </c>
      <c r="H190" s="171"/>
      <c r="I190" s="171"/>
      <c r="J190" s="171"/>
      <c r="K190" s="171"/>
      <c r="L190" s="172"/>
    </row>
    <row r="191" spans="3:12" ht="27" customHeight="1" thickBot="1" x14ac:dyDescent="0.3">
      <c r="C191" s="67" t="s">
        <v>36</v>
      </c>
      <c r="D191" s="68" t="s">
        <v>45</v>
      </c>
      <c r="E191" s="69"/>
      <c r="F191" s="70"/>
      <c r="G191" s="173" t="s">
        <v>40</v>
      </c>
      <c r="H191" s="173"/>
      <c r="I191" s="173"/>
      <c r="J191" s="173"/>
      <c r="K191" s="173"/>
      <c r="L191" s="174"/>
    </row>
    <row r="192" spans="3:12" ht="27" customHeight="1" x14ac:dyDescent="0.35">
      <c r="C192" s="57"/>
      <c r="D192" s="57"/>
      <c r="E192" s="57"/>
      <c r="F192" s="57"/>
      <c r="G192" s="57"/>
      <c r="H192" s="57"/>
      <c r="I192" s="57"/>
      <c r="J192" s="57"/>
      <c r="K192" s="71"/>
      <c r="L192" s="60"/>
    </row>
    <row r="193" spans="3:12" ht="27" customHeight="1" thickBot="1" x14ac:dyDescent="0.4">
      <c r="C193" s="57"/>
      <c r="D193" s="57"/>
      <c r="E193" s="57"/>
      <c r="F193" s="57"/>
      <c r="G193" s="57"/>
      <c r="H193" s="57"/>
      <c r="I193" s="57"/>
      <c r="J193" s="57"/>
      <c r="K193" s="71"/>
      <c r="L193" s="60"/>
    </row>
    <row r="194" spans="3:12" ht="27" customHeight="1" x14ac:dyDescent="0.3">
      <c r="C194" s="149" t="s">
        <v>51</v>
      </c>
      <c r="D194" s="150"/>
      <c r="E194" s="61"/>
      <c r="F194" s="62"/>
      <c r="G194" s="151" t="s">
        <v>51</v>
      </c>
      <c r="H194" s="151"/>
      <c r="I194" s="151"/>
      <c r="J194" s="151"/>
      <c r="K194" s="151"/>
      <c r="L194" s="152"/>
    </row>
    <row r="195" spans="3:12" ht="27" customHeight="1" x14ac:dyDescent="0.25">
      <c r="C195" s="63" t="s">
        <v>48</v>
      </c>
      <c r="D195" s="64" t="s">
        <v>49</v>
      </c>
      <c r="E195" s="65"/>
      <c r="F195" s="66"/>
      <c r="G195" s="171" t="s">
        <v>37</v>
      </c>
      <c r="H195" s="171"/>
      <c r="I195" s="171"/>
      <c r="J195" s="171"/>
      <c r="K195" s="171"/>
      <c r="L195" s="172"/>
    </row>
    <row r="196" spans="3:12" ht="27" customHeight="1" x14ac:dyDescent="0.25">
      <c r="C196" s="63" t="s">
        <v>34</v>
      </c>
      <c r="D196" s="64" t="s">
        <v>50</v>
      </c>
      <c r="E196" s="65"/>
      <c r="F196" s="66"/>
      <c r="G196" s="171" t="s">
        <v>38</v>
      </c>
      <c r="H196" s="171"/>
      <c r="I196" s="171"/>
      <c r="J196" s="171"/>
      <c r="K196" s="171"/>
      <c r="L196" s="172"/>
    </row>
    <row r="197" spans="3:12" ht="27" customHeight="1" x14ac:dyDescent="0.25">
      <c r="C197" s="63" t="s">
        <v>35</v>
      </c>
      <c r="D197" s="64" t="s">
        <v>47</v>
      </c>
      <c r="E197" s="65"/>
      <c r="F197" s="66"/>
      <c r="G197" s="171" t="s">
        <v>39</v>
      </c>
      <c r="H197" s="171"/>
      <c r="I197" s="171"/>
      <c r="J197" s="171"/>
      <c r="K197" s="171"/>
      <c r="L197" s="172"/>
    </row>
    <row r="198" spans="3:12" ht="27" customHeight="1" thickBot="1" x14ac:dyDescent="0.3">
      <c r="C198" s="67" t="s">
        <v>36</v>
      </c>
      <c r="D198" s="68"/>
      <c r="E198" s="69"/>
      <c r="F198" s="70"/>
      <c r="G198" s="173" t="s">
        <v>40</v>
      </c>
      <c r="H198" s="173"/>
      <c r="I198" s="173"/>
      <c r="J198" s="173"/>
      <c r="K198" s="173"/>
      <c r="L198" s="174"/>
    </row>
    <row r="199" spans="3:12" x14ac:dyDescent="0.25">
      <c r="C199" s="59"/>
      <c r="D199" s="59"/>
      <c r="E199" s="59"/>
      <c r="F199" s="59"/>
      <c r="G199" s="59"/>
      <c r="H199" s="59"/>
      <c r="I199" s="59"/>
      <c r="J199" s="59"/>
      <c r="K199" s="59"/>
      <c r="L199" s="59"/>
    </row>
    <row r="200" spans="3:12" ht="27" customHeight="1" x14ac:dyDescent="0.25">
      <c r="C200" s="111" t="s">
        <v>93</v>
      </c>
      <c r="D200" s="111"/>
      <c r="E200" s="111"/>
      <c r="F200" s="111"/>
      <c r="G200" s="111"/>
      <c r="H200" s="111"/>
      <c r="I200" s="111"/>
      <c r="J200" s="111"/>
      <c r="K200" s="111"/>
      <c r="L200" s="112"/>
    </row>
    <row r="201" spans="3:12" ht="27" customHeight="1" x14ac:dyDescent="0.25"/>
    <row r="202" spans="3:12" ht="27" customHeight="1" x14ac:dyDescent="0.25">
      <c r="C202" s="40" t="s">
        <v>94</v>
      </c>
      <c r="D202" s="40"/>
      <c r="E202" s="40"/>
      <c r="F202" s="40"/>
      <c r="G202" s="40"/>
      <c r="H202" s="40"/>
      <c r="I202" s="40"/>
      <c r="J202" s="40"/>
      <c r="K202" s="40"/>
      <c r="L202" s="40"/>
    </row>
    <row r="203" spans="3:12" ht="27" customHeight="1" x14ac:dyDescent="0.25">
      <c r="C203" s="41" t="s">
        <v>94</v>
      </c>
      <c r="D203" s="41"/>
      <c r="E203" s="41"/>
      <c r="F203" s="41"/>
      <c r="G203" s="41"/>
      <c r="H203" s="41"/>
      <c r="I203" s="41"/>
      <c r="J203" s="41"/>
      <c r="K203" s="41"/>
      <c r="L203" s="41"/>
    </row>
    <row r="204" spans="3:12" ht="27" customHeight="1" x14ac:dyDescent="0.25">
      <c r="C204" s="41" t="s">
        <v>94</v>
      </c>
      <c r="D204" s="41"/>
      <c r="E204" s="41"/>
      <c r="F204" s="41"/>
      <c r="G204" s="41"/>
      <c r="H204" s="41"/>
      <c r="I204" s="41"/>
      <c r="J204" s="41"/>
      <c r="K204" s="41"/>
      <c r="L204" s="41"/>
    </row>
    <row r="205" spans="3:12" ht="27" customHeight="1" x14ac:dyDescent="0.25">
      <c r="C205" s="41" t="s">
        <v>94</v>
      </c>
      <c r="D205" s="41"/>
      <c r="E205" s="41"/>
      <c r="F205" s="41"/>
      <c r="G205" s="41"/>
      <c r="H205" s="41"/>
      <c r="I205" s="41"/>
      <c r="J205" s="41"/>
      <c r="K205" s="41"/>
      <c r="L205" s="41"/>
    </row>
    <row r="206" spans="3:12" ht="27" customHeight="1" x14ac:dyDescent="0.25">
      <c r="C206" s="41" t="s">
        <v>94</v>
      </c>
      <c r="D206" s="41"/>
      <c r="E206" s="41"/>
      <c r="F206" s="41"/>
      <c r="G206" s="41"/>
      <c r="H206" s="41"/>
      <c r="I206" s="41"/>
      <c r="J206" s="41"/>
      <c r="K206" s="41"/>
      <c r="L206" s="41"/>
    </row>
    <row r="207" spans="3:12" ht="27" customHeight="1" x14ac:dyDescent="0.25">
      <c r="C207" s="41" t="s">
        <v>94</v>
      </c>
      <c r="D207" s="41"/>
      <c r="E207" s="41"/>
      <c r="F207" s="41"/>
      <c r="G207" s="41"/>
      <c r="H207" s="41"/>
      <c r="I207" s="41"/>
      <c r="J207" s="41"/>
      <c r="K207" s="41"/>
      <c r="L207" s="41"/>
    </row>
    <row r="208" spans="3:12" ht="27" customHeight="1" x14ac:dyDescent="0.25">
      <c r="C208" s="41" t="s">
        <v>94</v>
      </c>
      <c r="D208" s="41"/>
      <c r="E208" s="41"/>
      <c r="F208" s="41"/>
      <c r="G208" s="41"/>
      <c r="H208" s="41"/>
      <c r="I208" s="41"/>
      <c r="J208" s="41"/>
      <c r="K208" s="41"/>
      <c r="L208" s="41"/>
    </row>
    <row r="209" spans="3:12" ht="27" customHeight="1" x14ac:dyDescent="0.25">
      <c r="C209" s="41" t="s">
        <v>94</v>
      </c>
      <c r="D209" s="41"/>
      <c r="E209" s="41"/>
      <c r="F209" s="41"/>
      <c r="G209" s="41"/>
      <c r="H209" s="41"/>
      <c r="I209" s="41"/>
      <c r="J209" s="41"/>
      <c r="K209" s="41"/>
      <c r="L209" s="41"/>
    </row>
    <row r="210" spans="3:12" ht="27" customHeight="1" x14ac:dyDescent="0.25">
      <c r="C210" s="41" t="s">
        <v>94</v>
      </c>
      <c r="D210" s="41"/>
      <c r="E210" s="41"/>
      <c r="F210" s="41"/>
      <c r="G210" s="41"/>
      <c r="H210" s="41"/>
      <c r="I210" s="41"/>
      <c r="J210" s="41"/>
      <c r="K210" s="41"/>
      <c r="L210" s="41"/>
    </row>
    <row r="211" spans="3:12" ht="27" customHeight="1" x14ac:dyDescent="0.25">
      <c r="C211" s="41" t="s">
        <v>94</v>
      </c>
      <c r="D211" s="41"/>
      <c r="E211" s="41"/>
      <c r="F211" s="41"/>
      <c r="G211" s="41"/>
      <c r="H211" s="41"/>
      <c r="I211" s="41"/>
      <c r="J211" s="41"/>
      <c r="K211" s="41"/>
      <c r="L211" s="41"/>
    </row>
    <row r="212" spans="3:12" ht="27" customHeight="1" x14ac:dyDescent="0.25">
      <c r="C212" s="41" t="s">
        <v>94</v>
      </c>
      <c r="D212" s="41"/>
      <c r="E212" s="41"/>
      <c r="F212" s="41"/>
      <c r="G212" s="41"/>
      <c r="H212" s="41"/>
      <c r="I212" s="41"/>
      <c r="J212" s="41"/>
      <c r="K212" s="41"/>
      <c r="L212" s="41"/>
    </row>
    <row r="213" spans="3:12" ht="27" customHeight="1" x14ac:dyDescent="0.25">
      <c r="C213" s="41" t="s">
        <v>94</v>
      </c>
      <c r="D213" s="41"/>
      <c r="E213" s="41"/>
      <c r="F213" s="41"/>
      <c r="G213" s="41"/>
      <c r="H213" s="41"/>
      <c r="I213" s="41"/>
      <c r="J213" s="41"/>
      <c r="K213" s="41"/>
      <c r="L213" s="41"/>
    </row>
    <row r="214" spans="3:12" ht="27" customHeight="1" thickBot="1" x14ac:dyDescent="0.3"/>
    <row r="215" spans="3:12" ht="27" customHeight="1" thickBot="1" x14ac:dyDescent="0.3">
      <c r="C215" s="168" t="s">
        <v>91</v>
      </c>
      <c r="D215" s="169"/>
      <c r="G215" s="168" t="s">
        <v>92</v>
      </c>
      <c r="H215" s="170"/>
      <c r="I215" s="170"/>
      <c r="J215" s="170"/>
      <c r="K215" s="170"/>
      <c r="L215" s="169"/>
    </row>
    <row r="216" spans="3:12" ht="27" customHeight="1" x14ac:dyDescent="0.25"/>
    <row r="217" spans="3:12" ht="27" customHeight="1" x14ac:dyDescent="0.25"/>
    <row r="218" spans="3:12" ht="27" customHeight="1" x14ac:dyDescent="0.25"/>
    <row r="219" spans="3:12" ht="27" customHeight="1" x14ac:dyDescent="0.25"/>
    <row r="220" spans="3:12" ht="27" customHeight="1" x14ac:dyDescent="0.25"/>
    <row r="221" spans="3:12" ht="27" customHeight="1" x14ac:dyDescent="0.25"/>
    <row r="222" spans="3:12" ht="27" customHeight="1" x14ac:dyDescent="0.25"/>
    <row r="223" spans="3:12" ht="27" customHeight="1" x14ac:dyDescent="0.25"/>
    <row r="224" spans="3:12" ht="27" customHeight="1" x14ac:dyDescent="0.25"/>
    <row r="225" spans="3:11" ht="27" customHeight="1" x14ac:dyDescent="0.25"/>
    <row r="226" spans="3:11" ht="27" customHeight="1" x14ac:dyDescent="0.25"/>
    <row r="227" spans="3:11" ht="27" customHeight="1" x14ac:dyDescent="0.25"/>
    <row r="228" spans="3:11" ht="27" customHeight="1" x14ac:dyDescent="0.25"/>
    <row r="229" spans="3:11" ht="27" customHeight="1" x14ac:dyDescent="0.25"/>
    <row r="230" spans="3:11" ht="27" customHeight="1" x14ac:dyDescent="0.25"/>
    <row r="232" spans="3:11" x14ac:dyDescent="0.25">
      <c r="C232" s="26"/>
      <c r="D232" s="26"/>
      <c r="E232" s="26"/>
      <c r="F232" s="26"/>
      <c r="G232" s="26"/>
      <c r="H232" s="26"/>
      <c r="I232" s="26"/>
      <c r="J232" s="26"/>
      <c r="K232" s="15"/>
    </row>
  </sheetData>
  <sheetProtection algorithmName="SHA-512" hashValue="b6OmswOFeF2NMYcYij65C17VL6EkiJAHQrddkoVeyVikY2wTdXPY1bAzvkQrL1LE86Ihvmc3t5wUI7q4SHH/Vg==" saltValue="3wcKyw0Tv+jW3vJgegHU4Q==" spinCount="100000" sheet="1" objects="1" scenarios="1" selectLockedCells="1"/>
  <mergeCells count="77">
    <mergeCell ref="C215:D215"/>
    <mergeCell ref="G215:L215"/>
    <mergeCell ref="G188:L188"/>
    <mergeCell ref="G189:L189"/>
    <mergeCell ref="G190:L190"/>
    <mergeCell ref="G191:L191"/>
    <mergeCell ref="C194:D194"/>
    <mergeCell ref="G194:L194"/>
    <mergeCell ref="G195:L195"/>
    <mergeCell ref="G196:L196"/>
    <mergeCell ref="G197:L197"/>
    <mergeCell ref="G198:L198"/>
    <mergeCell ref="C200:L200"/>
    <mergeCell ref="C167:L167"/>
    <mergeCell ref="C169:L169"/>
    <mergeCell ref="C177:F177"/>
    <mergeCell ref="C185:L185"/>
    <mergeCell ref="C187:D187"/>
    <mergeCell ref="G187:L187"/>
    <mergeCell ref="F165:I165"/>
    <mergeCell ref="C155:D155"/>
    <mergeCell ref="F155:J155"/>
    <mergeCell ref="F156:J156"/>
    <mergeCell ref="F157:J157"/>
    <mergeCell ref="F159:I159"/>
    <mergeCell ref="F160:G160"/>
    <mergeCell ref="F161:G161"/>
    <mergeCell ref="H161:I161"/>
    <mergeCell ref="F162:G162"/>
    <mergeCell ref="H162:I162"/>
    <mergeCell ref="F164:I164"/>
    <mergeCell ref="F154:J154"/>
    <mergeCell ref="D137:F137"/>
    <mergeCell ref="D138:F138"/>
    <mergeCell ref="D139:F139"/>
    <mergeCell ref="D140:F140"/>
    <mergeCell ref="D141:F141"/>
    <mergeCell ref="D142:F142"/>
    <mergeCell ref="D143:F143"/>
    <mergeCell ref="D144:F144"/>
    <mergeCell ref="D145:F145"/>
    <mergeCell ref="D146:F146"/>
    <mergeCell ref="D147:F147"/>
    <mergeCell ref="D136:F136"/>
    <mergeCell ref="C48:L48"/>
    <mergeCell ref="C62:L62"/>
    <mergeCell ref="C77:L77"/>
    <mergeCell ref="C93:L93"/>
    <mergeCell ref="C108:L108"/>
    <mergeCell ref="C119:L119"/>
    <mergeCell ref="C131:L131"/>
    <mergeCell ref="D132:F132"/>
    <mergeCell ref="D133:F133"/>
    <mergeCell ref="D134:F134"/>
    <mergeCell ref="D135:F135"/>
    <mergeCell ref="C34:L34"/>
    <mergeCell ref="J19:L19"/>
    <mergeCell ref="C21:L21"/>
    <mergeCell ref="D22:L22"/>
    <mergeCell ref="D23:L23"/>
    <mergeCell ref="D24:L24"/>
    <mergeCell ref="D25:L25"/>
    <mergeCell ref="D26:L26"/>
    <mergeCell ref="C28:L28"/>
    <mergeCell ref="D29:L29"/>
    <mergeCell ref="G31:J31"/>
    <mergeCell ref="D32:L32"/>
    <mergeCell ref="C12:L12"/>
    <mergeCell ref="B15:B26"/>
    <mergeCell ref="C15:L15"/>
    <mergeCell ref="C16:D16"/>
    <mergeCell ref="J16:L16"/>
    <mergeCell ref="C17:D17"/>
    <mergeCell ref="J17:L17"/>
    <mergeCell ref="C18:D18"/>
    <mergeCell ref="J18:L18"/>
    <mergeCell ref="C19:D19"/>
  </mergeCells>
  <dataValidations count="2">
    <dataValidation type="whole" allowBlank="1" showInputMessage="1" showErrorMessage="1" sqref="I50:I54 I64:I68 I79:I83 I95:I99 I110:I114 I121:I125">
      <formula1>0</formula1>
      <formula2>50</formula2>
    </dataValidation>
    <dataValidation type="whole" showInputMessage="1" showErrorMessage="1" sqref="I36:I40">
      <formula1>0</formula1>
      <formula2>48</formula2>
    </dataValidation>
  </dataValidations>
  <pageMargins left="0.15748031496062992" right="0.15748031496062992" top="3.937007874015748E-2" bottom="3.937007874015748E-2" header="0.31496062992125984" footer="0.31496062992125984"/>
  <pageSetup paperSize="9" scale="49" fitToHeight="0" orientation="landscape" r:id="rId1"/>
  <colBreaks count="1" manualBreakCount="1">
    <brk id="3" max="1048575" man="1"/>
  </colBreaks>
  <drawing r:id="rId2"/>
  <legacyDrawing r:id="rId3"/>
  <mc:AlternateContent xmlns:mc="http://schemas.openxmlformats.org/markup-compatibility/2006">
    <mc:Choice Requires="x14">
      <controls>
        <mc:AlternateContent xmlns:mc="http://schemas.openxmlformats.org/markup-compatibility/2006">
          <mc:Choice Requires="x14">
            <control shapeId="47105" r:id="rId4" name="Check Box 1">
              <controlPr defaultSize="0" autoFill="0" autoLine="0" autoPict="0">
                <anchor moveWithCells="1">
                  <from>
                    <xdr:col>2</xdr:col>
                    <xdr:colOff>600075</xdr:colOff>
                    <xdr:row>15</xdr:row>
                    <xdr:rowOff>38100</xdr:rowOff>
                  </from>
                  <to>
                    <xdr:col>3</xdr:col>
                    <xdr:colOff>3743325</xdr:colOff>
                    <xdr:row>18</xdr:row>
                    <xdr:rowOff>314325</xdr:rowOff>
                  </to>
                </anchor>
              </controlPr>
            </control>
          </mc:Choice>
        </mc:AlternateContent>
        <mc:AlternateContent xmlns:mc="http://schemas.openxmlformats.org/markup-compatibility/2006">
          <mc:Choice Requires="x14">
            <control shapeId="47106" r:id="rId5" name="Check Box 2">
              <controlPr defaultSize="0" autoFill="0" autoLine="0" autoPict="0">
                <anchor moveWithCells="1">
                  <from>
                    <xdr:col>9</xdr:col>
                    <xdr:colOff>276225</xdr:colOff>
                    <xdr:row>15</xdr:row>
                    <xdr:rowOff>57150</xdr:rowOff>
                  </from>
                  <to>
                    <xdr:col>11</xdr:col>
                    <xdr:colOff>2419350</xdr:colOff>
                    <xdr:row>18</xdr:row>
                    <xdr:rowOff>276225</xdr:rowOff>
                  </to>
                </anchor>
              </controlPr>
            </control>
          </mc:Choice>
        </mc:AlternateContent>
        <mc:AlternateContent xmlns:mc="http://schemas.openxmlformats.org/markup-compatibility/2006">
          <mc:Choice Requires="x14">
            <control shapeId="47107" r:id="rId6" name="Check Box 3">
              <controlPr defaultSize="0" autoFill="0" autoLine="0" autoPict="0">
                <anchor moveWithCells="1">
                  <from>
                    <xdr:col>3</xdr:col>
                    <xdr:colOff>152400</xdr:colOff>
                    <xdr:row>28</xdr:row>
                    <xdr:rowOff>323850</xdr:rowOff>
                  </from>
                  <to>
                    <xdr:col>3</xdr:col>
                    <xdr:colOff>2952750</xdr:colOff>
                    <xdr:row>29</xdr:row>
                    <xdr:rowOff>323850</xdr:rowOff>
                  </to>
                </anchor>
              </controlPr>
            </control>
          </mc:Choice>
        </mc:AlternateContent>
        <mc:AlternateContent xmlns:mc="http://schemas.openxmlformats.org/markup-compatibility/2006">
          <mc:Choice Requires="x14">
            <control shapeId="47108" r:id="rId7" name="Check Box 4">
              <controlPr defaultSize="0" autoFill="0" autoLine="0" autoPict="0">
                <anchor moveWithCells="1">
                  <from>
                    <xdr:col>3</xdr:col>
                    <xdr:colOff>3790950</xdr:colOff>
                    <xdr:row>28</xdr:row>
                    <xdr:rowOff>323850</xdr:rowOff>
                  </from>
                  <to>
                    <xdr:col>5</xdr:col>
                    <xdr:colOff>657225</xdr:colOff>
                    <xdr:row>29</xdr:row>
                    <xdr:rowOff>323850</xdr:rowOff>
                  </to>
                </anchor>
              </controlPr>
            </control>
          </mc:Choice>
        </mc:AlternateContent>
        <mc:AlternateContent xmlns:mc="http://schemas.openxmlformats.org/markup-compatibility/2006">
          <mc:Choice Requires="x14">
            <control shapeId="47109" r:id="rId8" name="Check Box 5">
              <controlPr defaultSize="0" autoFill="0" autoLine="0" autoPict="0">
                <anchor moveWithCells="1">
                  <from>
                    <xdr:col>5</xdr:col>
                    <xdr:colOff>1352550</xdr:colOff>
                    <xdr:row>28</xdr:row>
                    <xdr:rowOff>333375</xdr:rowOff>
                  </from>
                  <to>
                    <xdr:col>6</xdr:col>
                    <xdr:colOff>1295400</xdr:colOff>
                    <xdr:row>30</xdr:row>
                    <xdr:rowOff>0</xdr:rowOff>
                  </to>
                </anchor>
              </controlPr>
            </control>
          </mc:Choice>
        </mc:AlternateContent>
        <mc:AlternateContent xmlns:mc="http://schemas.openxmlformats.org/markup-compatibility/2006">
          <mc:Choice Requires="x14">
            <control shapeId="47110" r:id="rId9" name="Check Box 6">
              <controlPr defaultSize="0" autoFill="0" autoLine="0" autoPict="0">
                <anchor moveWithCells="1">
                  <from>
                    <xdr:col>7</xdr:col>
                    <xdr:colOff>1104900</xdr:colOff>
                    <xdr:row>29</xdr:row>
                    <xdr:rowOff>19050</xdr:rowOff>
                  </from>
                  <to>
                    <xdr:col>9</xdr:col>
                    <xdr:colOff>133350</xdr:colOff>
                    <xdr:row>29</xdr:row>
                    <xdr:rowOff>314325</xdr:rowOff>
                  </to>
                </anchor>
              </controlPr>
            </control>
          </mc:Choice>
        </mc:AlternateContent>
        <mc:AlternateContent xmlns:mc="http://schemas.openxmlformats.org/markup-compatibility/2006">
          <mc:Choice Requires="x14">
            <control shapeId="47111" r:id="rId10" name="Check Box 7">
              <controlPr defaultSize="0" autoFill="0" autoLine="0" autoPict="0">
                <anchor moveWithCells="1">
                  <from>
                    <xdr:col>4</xdr:col>
                    <xdr:colOff>447675</xdr:colOff>
                    <xdr:row>29</xdr:row>
                    <xdr:rowOff>323850</xdr:rowOff>
                  </from>
                  <to>
                    <xdr:col>4</xdr:col>
                    <xdr:colOff>1495425</xdr:colOff>
                    <xdr:row>30</xdr:row>
                    <xdr:rowOff>323850</xdr:rowOff>
                  </to>
                </anchor>
              </controlPr>
            </control>
          </mc:Choice>
        </mc:AlternateContent>
        <mc:AlternateContent xmlns:mc="http://schemas.openxmlformats.org/markup-compatibility/2006">
          <mc:Choice Requires="x14">
            <control shapeId="47112" r:id="rId11" name="Check Box 8">
              <controlPr defaultSize="0" autoFill="0" autoLine="0" autoPict="0">
                <anchor moveWithCells="1">
                  <from>
                    <xdr:col>7</xdr:col>
                    <xdr:colOff>381000</xdr:colOff>
                    <xdr:row>29</xdr:row>
                    <xdr:rowOff>314325</xdr:rowOff>
                  </from>
                  <to>
                    <xdr:col>8</xdr:col>
                    <xdr:colOff>57150</xdr:colOff>
                    <xdr:row>30</xdr:row>
                    <xdr:rowOff>314325</xdr:rowOff>
                  </to>
                </anchor>
              </controlPr>
            </control>
          </mc:Choice>
        </mc:AlternateContent>
        <mc:AlternateContent xmlns:mc="http://schemas.openxmlformats.org/markup-compatibility/2006">
          <mc:Choice Requires="x14">
            <control shapeId="47113" r:id="rId12" name="Check Box 9">
              <controlPr defaultSize="0" autoFill="0" autoLine="0" autoPict="0">
                <anchor moveWithCells="1">
                  <from>
                    <xdr:col>9</xdr:col>
                    <xdr:colOff>476250</xdr:colOff>
                    <xdr:row>29</xdr:row>
                    <xdr:rowOff>323850</xdr:rowOff>
                  </from>
                  <to>
                    <xdr:col>10</xdr:col>
                    <xdr:colOff>828675</xdr:colOff>
                    <xdr:row>30</xdr:row>
                    <xdr:rowOff>323850</xdr:rowOff>
                  </to>
                </anchor>
              </controlPr>
            </control>
          </mc:Choice>
        </mc:AlternateContent>
        <mc:AlternateContent xmlns:mc="http://schemas.openxmlformats.org/markup-compatibility/2006">
          <mc:Choice Requires="x14">
            <control shapeId="47114" r:id="rId13" name="Check Box 10">
              <controlPr defaultSize="0" autoFill="0" autoLine="0" autoPict="0">
                <anchor moveWithCells="1">
                  <from>
                    <xdr:col>6</xdr:col>
                    <xdr:colOff>685800</xdr:colOff>
                    <xdr:row>154</xdr:row>
                    <xdr:rowOff>28575</xdr:rowOff>
                  </from>
                  <to>
                    <xdr:col>8</xdr:col>
                    <xdr:colOff>190500</xdr:colOff>
                    <xdr:row>154</xdr:row>
                    <xdr:rowOff>285750</xdr:rowOff>
                  </to>
                </anchor>
              </controlPr>
            </control>
          </mc:Choice>
        </mc:AlternateContent>
        <mc:AlternateContent xmlns:mc="http://schemas.openxmlformats.org/markup-compatibility/2006">
          <mc:Choice Requires="x14">
            <control shapeId="47115" r:id="rId14" name="Check Box 11">
              <controlPr defaultSize="0" autoFill="0" autoLine="0" autoPict="0">
                <anchor moveWithCells="1">
                  <from>
                    <xdr:col>5</xdr:col>
                    <xdr:colOff>1276350</xdr:colOff>
                    <xdr:row>154</xdr:row>
                    <xdr:rowOff>323850</xdr:rowOff>
                  </from>
                  <to>
                    <xdr:col>8</xdr:col>
                    <xdr:colOff>695325</xdr:colOff>
                    <xdr:row>155</xdr:row>
                    <xdr:rowOff>323850</xdr:rowOff>
                  </to>
                </anchor>
              </controlPr>
            </control>
          </mc:Choice>
        </mc:AlternateContent>
        <mc:AlternateContent xmlns:mc="http://schemas.openxmlformats.org/markup-compatibility/2006">
          <mc:Choice Requires="x14">
            <control shapeId="47116" r:id="rId15" name="Check Box 12">
              <controlPr defaultSize="0" autoFill="0" autoLine="0" autoPict="0">
                <anchor moveWithCells="1">
                  <from>
                    <xdr:col>6</xdr:col>
                    <xdr:colOff>295275</xdr:colOff>
                    <xdr:row>155</xdr:row>
                    <xdr:rowOff>333375</xdr:rowOff>
                  </from>
                  <to>
                    <xdr:col>8</xdr:col>
                    <xdr:colOff>9525</xdr:colOff>
                    <xdr:row>157</xdr:row>
                    <xdr:rowOff>0</xdr:rowOff>
                  </to>
                </anchor>
              </controlPr>
            </control>
          </mc:Choice>
        </mc:AlternateContent>
        <mc:AlternateContent xmlns:mc="http://schemas.openxmlformats.org/markup-compatibility/2006">
          <mc:Choice Requires="x14">
            <control shapeId="47117" r:id="rId16" name="Check Box 13">
              <controlPr defaultSize="0" autoFill="0" autoLine="0" autoPict="0">
                <anchor moveWithCells="1">
                  <from>
                    <xdr:col>5</xdr:col>
                    <xdr:colOff>171450</xdr:colOff>
                    <xdr:row>160</xdr:row>
                    <xdr:rowOff>57150</xdr:rowOff>
                  </from>
                  <to>
                    <xdr:col>6</xdr:col>
                    <xdr:colOff>1019175</xdr:colOff>
                    <xdr:row>160</xdr:row>
                    <xdr:rowOff>314325</xdr:rowOff>
                  </to>
                </anchor>
              </controlPr>
            </control>
          </mc:Choice>
        </mc:AlternateContent>
        <mc:AlternateContent xmlns:mc="http://schemas.openxmlformats.org/markup-compatibility/2006">
          <mc:Choice Requires="x14">
            <control shapeId="47118" r:id="rId17" name="Check Box 14">
              <controlPr defaultSize="0" autoFill="0" autoLine="0" autoPict="0">
                <anchor moveWithCells="1">
                  <from>
                    <xdr:col>5</xdr:col>
                    <xdr:colOff>952500</xdr:colOff>
                    <xdr:row>159</xdr:row>
                    <xdr:rowOff>28575</xdr:rowOff>
                  </from>
                  <to>
                    <xdr:col>6</xdr:col>
                    <xdr:colOff>419100</xdr:colOff>
                    <xdr:row>159</xdr:row>
                    <xdr:rowOff>276225</xdr:rowOff>
                  </to>
                </anchor>
              </controlPr>
            </control>
          </mc:Choice>
        </mc:AlternateContent>
        <mc:AlternateContent xmlns:mc="http://schemas.openxmlformats.org/markup-compatibility/2006">
          <mc:Choice Requires="x14">
            <control shapeId="47119" r:id="rId18" name="Check Box 15">
              <controlPr defaultSize="0" autoFill="0" autoLine="0" autoPict="0">
                <anchor moveWithCells="1">
                  <from>
                    <xdr:col>5</xdr:col>
                    <xdr:colOff>180975</xdr:colOff>
                    <xdr:row>161</xdr:row>
                    <xdr:rowOff>38100</xdr:rowOff>
                  </from>
                  <to>
                    <xdr:col>6</xdr:col>
                    <xdr:colOff>990600</xdr:colOff>
                    <xdr:row>161</xdr:row>
                    <xdr:rowOff>295275</xdr:rowOff>
                  </to>
                </anchor>
              </controlPr>
            </control>
          </mc:Choice>
        </mc:AlternateContent>
        <mc:AlternateContent xmlns:mc="http://schemas.openxmlformats.org/markup-compatibility/2006">
          <mc:Choice Requires="x14">
            <control shapeId="47120" r:id="rId19" name="Check Box 16">
              <controlPr defaultSize="0" autoFill="0" autoLine="0" autoPict="0">
                <anchor moveWithCells="1">
                  <from>
                    <xdr:col>7</xdr:col>
                    <xdr:colOff>257175</xdr:colOff>
                    <xdr:row>160</xdr:row>
                    <xdr:rowOff>57150</xdr:rowOff>
                  </from>
                  <to>
                    <xdr:col>8</xdr:col>
                    <xdr:colOff>962025</xdr:colOff>
                    <xdr:row>160</xdr:row>
                    <xdr:rowOff>285750</xdr:rowOff>
                  </to>
                </anchor>
              </controlPr>
            </control>
          </mc:Choice>
        </mc:AlternateContent>
        <mc:AlternateContent xmlns:mc="http://schemas.openxmlformats.org/markup-compatibility/2006">
          <mc:Choice Requires="x14">
            <control shapeId="47121" r:id="rId20" name="Check Box 17">
              <controlPr defaultSize="0" autoFill="0" autoLine="0" autoPict="0">
                <anchor moveWithCells="1">
                  <from>
                    <xdr:col>7</xdr:col>
                    <xdr:colOff>866775</xdr:colOff>
                    <xdr:row>161</xdr:row>
                    <xdr:rowOff>38100</xdr:rowOff>
                  </from>
                  <to>
                    <xdr:col>8</xdr:col>
                    <xdr:colOff>476250</xdr:colOff>
                    <xdr:row>161</xdr:row>
                    <xdr:rowOff>295275</xdr:rowOff>
                  </to>
                </anchor>
              </controlPr>
            </control>
          </mc:Choice>
        </mc:AlternateContent>
        <mc:AlternateContent xmlns:mc="http://schemas.openxmlformats.org/markup-compatibility/2006">
          <mc:Choice Requires="x14">
            <control shapeId="47122" r:id="rId21" name="Check Box 18">
              <controlPr defaultSize="0" autoFill="0" autoLine="0" autoPict="0">
                <anchor moveWithCells="1">
                  <from>
                    <xdr:col>10</xdr:col>
                    <xdr:colOff>1990725</xdr:colOff>
                    <xdr:row>29</xdr:row>
                    <xdr:rowOff>9525</xdr:rowOff>
                  </from>
                  <to>
                    <xdr:col>11</xdr:col>
                    <xdr:colOff>1619250</xdr:colOff>
                    <xdr:row>29</xdr:row>
                    <xdr:rowOff>295275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15</vt:i4>
      </vt:variant>
      <vt:variant>
        <vt:lpstr>Adlandırılmış Aralıklar</vt:lpstr>
      </vt:variant>
      <vt:variant>
        <vt:i4>15</vt:i4>
      </vt:variant>
    </vt:vector>
  </HeadingPairs>
  <TitlesOfParts>
    <vt:vector size="30" baseType="lpstr">
      <vt:lpstr>1</vt:lpstr>
      <vt:lpstr>2</vt:lpstr>
      <vt:lpstr>3</vt:lpstr>
      <vt:lpstr>4</vt:lpstr>
      <vt:lpstr>5</vt:lpstr>
      <vt:lpstr>6</vt:lpstr>
      <vt:lpstr>MAKSEM</vt:lpstr>
      <vt:lpstr>8</vt:lpstr>
      <vt:lpstr>9</vt:lpstr>
      <vt:lpstr>10</vt:lpstr>
      <vt:lpstr>11</vt:lpstr>
      <vt:lpstr>12</vt:lpstr>
      <vt:lpstr>13</vt:lpstr>
      <vt:lpstr>14</vt:lpstr>
      <vt:lpstr>15</vt:lpstr>
      <vt:lpstr>'1'!Yazdırma_Alanı</vt:lpstr>
      <vt:lpstr>'10'!Yazdırma_Alanı</vt:lpstr>
      <vt:lpstr>'11'!Yazdırma_Alanı</vt:lpstr>
      <vt:lpstr>'12'!Yazdırma_Alanı</vt:lpstr>
      <vt:lpstr>'13'!Yazdırma_Alanı</vt:lpstr>
      <vt:lpstr>'14'!Yazdırma_Alanı</vt:lpstr>
      <vt:lpstr>'15'!Yazdırma_Alanı</vt:lpstr>
      <vt:lpstr>'2'!Yazdırma_Alanı</vt:lpstr>
      <vt:lpstr>'3'!Yazdırma_Alanı</vt:lpstr>
      <vt:lpstr>'4'!Yazdırma_Alanı</vt:lpstr>
      <vt:lpstr>'5'!Yazdırma_Alanı</vt:lpstr>
      <vt:lpstr>'6'!Yazdırma_Alanı</vt:lpstr>
      <vt:lpstr>'8'!Yazdırma_Alanı</vt:lpstr>
      <vt:lpstr>'9'!Yazdırma_Alanı</vt:lpstr>
      <vt:lpstr>MAKSEM!Yazdırma_Alanı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2026-03-27T11:09:33Z</dcterms:modified>
</cp:coreProperties>
</file>