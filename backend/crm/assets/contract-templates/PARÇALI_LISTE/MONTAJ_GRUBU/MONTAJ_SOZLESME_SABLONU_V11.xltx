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64011"/>
  <bookViews>
    <workbookView xWindow="0" yWindow="0" windowWidth="22260" windowHeight="12645"/>
  </bookViews>
  <sheets>
    <sheet name="1" sheetId="53" r:id="rId1"/>
    <sheet name="MontajGrubu" sheetId="83" r:id="rId2"/>
  </sheets>
  <definedNames>
    <definedName name="_xlnm.Print_Area" localSheetId="0">'1'!$A$1:$M$102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7" i="53" l="1"/>
  <c r="D30" i="53"/>
  <c r="H41" i="53"/>
  <c r="H42" i="53"/>
  <c r="H43" i="53"/>
  <c r="H44" i="53"/>
  <c r="H45" i="53"/>
  <c r="H46" i="53"/>
  <c r="D41" i="53"/>
  <c r="D42" i="53"/>
  <c r="D43" i="53"/>
  <c r="D44" i="53"/>
  <c r="D45" i="53"/>
  <c r="D46" i="53"/>
  <c r="I81" i="53" l="1"/>
  <c r="J91" i="53"/>
  <c r="H39" i="53"/>
  <c r="H40" i="53"/>
  <c r="D39" i="53"/>
  <c r="D40" i="53"/>
  <c r="H38" i="53"/>
  <c r="D38" i="53"/>
  <c r="L39" i="53"/>
  <c r="L40" i="53"/>
  <c r="L38" i="53"/>
  <c r="M14" i="53" l="1"/>
  <c r="M40" i="53" l="1"/>
  <c r="M39" i="53"/>
  <c r="M38" i="53"/>
  <c r="M47" i="53" l="1"/>
  <c r="M48" i="53" s="1"/>
  <c r="M49" i="53" s="1"/>
  <c r="L64" i="53" s="1"/>
  <c r="L65" i="53" s="1"/>
</calcChain>
</file>

<file path=xl/sharedStrings.xml><?xml version="1.0" encoding="utf-8"?>
<sst xmlns="http://schemas.openxmlformats.org/spreadsheetml/2006/main" count="497" uniqueCount="470">
  <si>
    <t>Kod</t>
  </si>
  <si>
    <t xml:space="preserve">Satış Birimi </t>
  </si>
  <si>
    <t>Miktar</t>
  </si>
  <si>
    <t>Birim</t>
  </si>
  <si>
    <t xml:space="preserve">Tutar </t>
  </si>
  <si>
    <t>Adet</t>
  </si>
  <si>
    <t>Tutar Toplam</t>
  </si>
  <si>
    <t>K.D.V. %20</t>
  </si>
  <si>
    <t xml:space="preserve">Yekün </t>
  </si>
  <si>
    <t>1- Alıcı özellikleri belirtilen ürünlerinin;talebi doğrultusunda anlaşılmış satış şartlarını da kabul eder.</t>
  </si>
  <si>
    <t>2- Satıcı özellikleri belirtilen ürünlerini;talep doğrultusunda üretimini yapacağını kabul eder.</t>
  </si>
  <si>
    <t>3- Alıcı onayladığı siparişi değiştirmesi halinde firmanın uğrayacağı zararı karşılamak zorundadır.</t>
  </si>
  <si>
    <t xml:space="preserve">4- Ödemesi alınmamış siparişin sözleşmesi imzalanmış dahi olsa üretime alınmayacaktır. Satıcı sorumlu tutulamaz. </t>
  </si>
  <si>
    <t xml:space="preserve">5- Mücbir sebeplerden (yangın+deprem+kaza)kaynaklanan gecikmelerde satıcı mesul tutulamaz. </t>
  </si>
  <si>
    <t>6- Sevk tarihinden 3 gün içinde alıcı tarafından yazılı bildirimde bulunulmadığı takdirde eksiksiz teslim aldığını kabul eder.</t>
  </si>
  <si>
    <t>7- Alıcı sözleşmeyi imzalamadan önce;firmaya (vergi levhası,yetki belgesi,imza sirküleri)eksiksiz beyan eder.</t>
  </si>
  <si>
    <t>Türkiye İş Bankası</t>
  </si>
  <si>
    <t xml:space="preserve">Ziraat Bankası </t>
  </si>
  <si>
    <t xml:space="preserve">Vakıflar Bankası </t>
  </si>
  <si>
    <t>ORTKA YAPI ELEMANLARI ÜRETİM SAN.LTD.ŞTİ</t>
  </si>
  <si>
    <t>TR66 0020 3000 0056 3735 0000 02</t>
  </si>
  <si>
    <t>TR24 0006 4000 0018 6003 9367 45</t>
  </si>
  <si>
    <t>TR57 0001 5001 5800 7284 2692 06</t>
  </si>
  <si>
    <t>TR07 0001 0021 6935 0399 4450 09</t>
  </si>
  <si>
    <t xml:space="preserve">TOPLAM YEKÜN </t>
  </si>
  <si>
    <t xml:space="preserve">GEÇERLİLİK TARİHİ </t>
  </si>
  <si>
    <t xml:space="preserve">FİRMA UNVANLARI &amp; İBANLAR </t>
  </si>
  <si>
    <t>ORTKA YAPI ELEMANLARI ÜRETİM SAN.LTD.ŞTİ TL</t>
  </si>
  <si>
    <t xml:space="preserve">AYKA KAPI ADINA İMZA </t>
  </si>
  <si>
    <t>AYKA KAPI SANAYİ TİCARET ANONİM ŞİRKETİ</t>
  </si>
  <si>
    <t>VERGİ DAİRESİ : BEYDAĞI</t>
  </si>
  <si>
    <t>VERGİ NO: 6480365207</t>
  </si>
  <si>
    <t>VERGİ NO: 1210461108</t>
  </si>
  <si>
    <t>MAİL/TEL: muhasebe@aykakapi.com.tr / 444 0 932</t>
  </si>
  <si>
    <t>CARİ ÜNVANI</t>
  </si>
  <si>
    <t>VERGİ DAİRESİ / NO</t>
  </si>
  <si>
    <t>ADRES</t>
  </si>
  <si>
    <t>YETKİLİ</t>
  </si>
  <si>
    <t>TELEFON/MAİL</t>
  </si>
  <si>
    <t xml:space="preserve">TARAFLAR </t>
  </si>
  <si>
    <t>TARİH</t>
  </si>
  <si>
    <t xml:space="preserve">HAZIRLAYAN </t>
  </si>
  <si>
    <t>ALICI BİLGİLERİ</t>
  </si>
  <si>
    <t xml:space="preserve">MAHMUT SAYAR </t>
  </si>
  <si>
    <t xml:space="preserve">FURKAN NAİM BÜKER </t>
  </si>
  <si>
    <t>UBEYDE SALKINI</t>
  </si>
  <si>
    <t xml:space="preserve">         TUĞRUL MELİH TÜRKYILMAZ </t>
  </si>
  <si>
    <t>TEKLİF TARİHİNDEN İTİBAREN</t>
  </si>
  <si>
    <t xml:space="preserve">     3 İŞ GÜNÜ </t>
  </si>
  <si>
    <t>7 İŞ GÜNÜ</t>
  </si>
  <si>
    <t>10 İŞ GÜNÜ</t>
  </si>
  <si>
    <t>9- İşbu sözleşmeden doğacak ihtilaflarda Malatya Mahkemeleri ve İcra Daireleri yetkilidir.</t>
  </si>
  <si>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</si>
  <si>
    <t xml:space="preserve">Liste Fiyatı </t>
  </si>
  <si>
    <t xml:space="preserve">Birim Net Fiyatı </t>
  </si>
  <si>
    <t>YÖNETİM</t>
  </si>
  <si>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</si>
  <si>
    <t xml:space="preserve">kod </t>
  </si>
  <si>
    <t>ürün adı</t>
  </si>
  <si>
    <t xml:space="preserve">birim fiyatı </t>
  </si>
  <si>
    <t>152.06.2004</t>
  </si>
  <si>
    <t>Optima Pro Çelik Kapı Ayarlı 1 ( 2 m² )</t>
  </si>
  <si>
    <t>152.06.2005</t>
  </si>
  <si>
    <t>Optima Pro Çelik Kapı Ayarlı 2( 2 m² )</t>
  </si>
  <si>
    <t>152.06.2006</t>
  </si>
  <si>
    <t>Optima Pro Çelik Kapı Ayarlı 3 ( 2 m² )</t>
  </si>
  <si>
    <t>152.06.2104</t>
  </si>
  <si>
    <t>Trend  Pro Çelik Kapı Ayarlı 1( 2 m² )</t>
  </si>
  <si>
    <t>152.06.2105</t>
  </si>
  <si>
    <t>Trend  Pro Çelik Kapı Ayarlı 2 ( 2 m² )</t>
  </si>
  <si>
    <t>152.06.2106</t>
  </si>
  <si>
    <t>Trend  Pro Çelik Kapı Ayarlı 3 ( 2 m² )</t>
  </si>
  <si>
    <t>152.06.2204</t>
  </si>
  <si>
    <t>Milano Pro Çelik Kapı Ayarlı 1 ( 2 m² )</t>
  </si>
  <si>
    <t>152.06.2205</t>
  </si>
  <si>
    <t>Milano Pro Çelik Kapı Ayarlı 2 ( 2 m² )</t>
  </si>
  <si>
    <t>152.06.2206</t>
  </si>
  <si>
    <t>Milano Pro Çelik Kapı Ayarlı 3 ( 2 m² )</t>
  </si>
  <si>
    <t>152.06.2250</t>
  </si>
  <si>
    <t>Çelik Kapı Kasa (15*20) Kaplama</t>
  </si>
  <si>
    <t>152.06.2251</t>
  </si>
  <si>
    <t>Çelik Kapı Kasa (20*25) Kaplama</t>
  </si>
  <si>
    <t>152.06.2252</t>
  </si>
  <si>
    <t>Çelik Kapı Kasa (25*30) Kaplama</t>
  </si>
  <si>
    <t>152.06.2401</t>
  </si>
  <si>
    <t xml:space="preserve">Lazer Kesim Çelik Kapı : 1 (2 m²) </t>
  </si>
  <si>
    <t>152.06.2402</t>
  </si>
  <si>
    <t xml:space="preserve">Lazer Kesim Çelik Kapı : 2 (2 m²) </t>
  </si>
  <si>
    <t>152.06.2403</t>
  </si>
  <si>
    <t xml:space="preserve">Lazer Kesim Çelik Kapı : 3 (2 m²) </t>
  </si>
  <si>
    <t>152.06.2501</t>
  </si>
  <si>
    <t xml:space="preserve">Dekoratif Çelik Kapı : 1 (2 m²) </t>
  </si>
  <si>
    <t>152.06.2502</t>
  </si>
  <si>
    <t xml:space="preserve">Dekoratif Çelik Kapı : 2 (2 m²) </t>
  </si>
  <si>
    <t>152.06.2503</t>
  </si>
  <si>
    <t xml:space="preserve">Dekoratif Çelik Kapı : 3 (2 m²) </t>
  </si>
  <si>
    <t>152.06.2701</t>
  </si>
  <si>
    <t xml:space="preserve">Acil Çelik Kapı : 1 (2 m²) </t>
  </si>
  <si>
    <t>152.06.2702</t>
  </si>
  <si>
    <t xml:space="preserve">Acil Çelik Kapı : 2 (2 m²) </t>
  </si>
  <si>
    <t>152.06.2703</t>
  </si>
  <si>
    <t xml:space="preserve">Acil Çelik Kapı : 3 (2 m²) </t>
  </si>
  <si>
    <t>152.06.2751</t>
  </si>
  <si>
    <t xml:space="preserve">Acil Çelik Kapı Silindirli : 1 (2 m²) </t>
  </si>
  <si>
    <t>152.06.2752</t>
  </si>
  <si>
    <t xml:space="preserve">Acil Çelik Kapı Silindirli : 2 (2 m²) </t>
  </si>
  <si>
    <t>152.06.2753</t>
  </si>
  <si>
    <t xml:space="preserve">Acil Çelik Kapı Silindirli : 3 (2 m²) </t>
  </si>
  <si>
    <t>152.06.2801</t>
  </si>
  <si>
    <t xml:space="preserve">Yangın TSE EN 16034 Çelik Kapı : 1 (2 m²) </t>
  </si>
  <si>
    <t>152.06.2802</t>
  </si>
  <si>
    <t xml:space="preserve">Yangın TSE EN 16034 Çelik Kapı : 2 (2 m²) </t>
  </si>
  <si>
    <t>152.06.2803</t>
  </si>
  <si>
    <t xml:space="preserve">Yangın TSE EN 16034 Çelik Kapı : 3 (2 m²) </t>
  </si>
  <si>
    <t>152.06.2804</t>
  </si>
  <si>
    <t xml:space="preserve">Toki Yangın TSE Çelik Kapı : 1 (2 m²) </t>
  </si>
  <si>
    <t>152.06.2805</t>
  </si>
  <si>
    <t xml:space="preserve">Toki Yangın TSE Çelik Kapı : 2 (2 m²) </t>
  </si>
  <si>
    <t>152.06.2901</t>
  </si>
  <si>
    <t xml:space="preserve">Toki Çelik Kapı : 1 (2 m²) </t>
  </si>
  <si>
    <t>152.06.2902</t>
  </si>
  <si>
    <t xml:space="preserve">Toki Çelik Kapı : 2 (2 m²) </t>
  </si>
  <si>
    <t>152.06.2903</t>
  </si>
  <si>
    <t xml:space="preserve">Toki DK 1 (20-25*100*220) </t>
  </si>
  <si>
    <t>152.06.2904</t>
  </si>
  <si>
    <t>Toki DK 2 (20-25*100*220) (Duman Sızdırmaz)</t>
  </si>
  <si>
    <t>152.06.2905</t>
  </si>
  <si>
    <t>Toki DK 1 (20-25*100*220) Çift  Menfez</t>
  </si>
  <si>
    <t>152.06.2906</t>
  </si>
  <si>
    <t>Toki DK 4 (20-25*100*220) Tek Menfez</t>
  </si>
  <si>
    <t>152.06.2907</t>
  </si>
  <si>
    <t>Toki DK 5 (20-25*160*220) Çift Menfez</t>
  </si>
  <si>
    <t>152.06.2908</t>
  </si>
  <si>
    <t>Toki DK 6 (20-25*160*220)</t>
  </si>
  <si>
    <t>152.06.2909</t>
  </si>
  <si>
    <t>Toki Çelik Kapı Krom 1(2m2)</t>
  </si>
  <si>
    <t>152.06.2950</t>
  </si>
  <si>
    <t xml:space="preserve">Şaft Kapağı 0,50 m² </t>
  </si>
  <si>
    <t>152.06.2951</t>
  </si>
  <si>
    <t xml:space="preserve">Şaft Kapağı 0,75 m² </t>
  </si>
  <si>
    <t>152.06.2952</t>
  </si>
  <si>
    <t xml:space="preserve">Şaft Kapağı 1,00 m² </t>
  </si>
  <si>
    <t>152.06.2953</t>
  </si>
  <si>
    <t xml:space="preserve">Şaft Kapağı 1,25 m² </t>
  </si>
  <si>
    <t>152.06.2954</t>
  </si>
  <si>
    <t xml:space="preserve">Şaft Kapağı 1,50 m² </t>
  </si>
  <si>
    <t>152.06.2956"</t>
  </si>
  <si>
    <t xml:space="preserve">Şaft Kapağı Pano Tipi 0,50  m² </t>
  </si>
  <si>
    <t>152.06.2957</t>
  </si>
  <si>
    <t xml:space="preserve">Şaft Kapağı Pano Tipi 0,75  m² </t>
  </si>
  <si>
    <t>152.06.2958</t>
  </si>
  <si>
    <t xml:space="preserve">Şaft Kapağı Pano Tipi 1  m² </t>
  </si>
  <si>
    <t>152.06.2959</t>
  </si>
  <si>
    <t xml:space="preserve">Şaft Kapağı Pano Tipi 1,25  m² </t>
  </si>
  <si>
    <t>152.06.2960</t>
  </si>
  <si>
    <t xml:space="preserve">Şaft Kapağı Pano Tipi 1,5  m² </t>
  </si>
  <si>
    <t>151.06.2001</t>
  </si>
  <si>
    <t>Metal İ.K ATipi Ayarlı Kasa 10*15cm (2m2)1.50mm</t>
  </si>
  <si>
    <t>151.06.2002</t>
  </si>
  <si>
    <t>Metal İ.K ATipi Ayarlı Kasa 15*20cm (2m2)1.50mm</t>
  </si>
  <si>
    <t>151.06.2003</t>
  </si>
  <si>
    <t>Metal İ.K ATipi Ayarlı Kasa 20*25cm (2m2)1.50mm</t>
  </si>
  <si>
    <t>151.06.2004</t>
  </si>
  <si>
    <t>Metal İ.K ATipi Ayarlı Kasa 25*30cm (2m2)1.50mm</t>
  </si>
  <si>
    <t>151.06.2201</t>
  </si>
  <si>
    <t>Metal İ.K ATipi Ayarlı Kasa 10*15cm (2m²) 2 mm</t>
  </si>
  <si>
    <t>151.06.2202</t>
  </si>
  <si>
    <t>Metal İ.K ATipi Ayarlı Kasa 15*20cm (2m²) 2 mm</t>
  </si>
  <si>
    <t>151.06.2203</t>
  </si>
  <si>
    <t>Metal İ.K ATipi Ayarlı Kasa 20*25cm (2m²) 2 mm</t>
  </si>
  <si>
    <t>151.06.2204</t>
  </si>
  <si>
    <t>Metal İ.K ATipi Ayarlı Kasa 25*30cm (2m²) 2 mm</t>
  </si>
  <si>
    <t>151.06.2205</t>
  </si>
  <si>
    <t>Metal İ.K ATipi Ayarlı Kasa 30*35cm (2m²) 2 mm</t>
  </si>
  <si>
    <t>151.06.2206</t>
  </si>
  <si>
    <t>Metal İ.K ATipi Ayarlı Kasa 35*40cm (2m²) 2 mm</t>
  </si>
  <si>
    <t>150.06.0726</t>
  </si>
  <si>
    <t xml:space="preserve">ÇK Kale Kilit Takım Fiyat Farkı </t>
  </si>
  <si>
    <t>150.06.0404</t>
  </si>
  <si>
    <t xml:space="preserve">ÇK- Optima-Trend Ahşap Fiyat Farkı </t>
  </si>
  <si>
    <t>150.06.0452</t>
  </si>
  <si>
    <t xml:space="preserve">ÇK-Optima-Milano Ahşap Fiyat Farkı </t>
  </si>
  <si>
    <t>150.06.0417</t>
  </si>
  <si>
    <t>Çk-Trend-Milano Ahşap Fiyat Farkı</t>
  </si>
  <si>
    <t>1-İskonto %</t>
  </si>
  <si>
    <t>2-İskonto %</t>
  </si>
  <si>
    <t>VAHAP DARDAN</t>
  </si>
  <si>
    <t>2026/1. LİSTE : 26/1</t>
  </si>
  <si>
    <t xml:space="preserve"> F.LİSTESİ</t>
  </si>
  <si>
    <t>YEKÜN İCMAAL</t>
  </si>
  <si>
    <t>Garanti BBVA Bankası TR14 0006 2000 1120 0006 2913 29</t>
  </si>
  <si>
    <t>AYKA KAPI SANAYİ TİCARET ANONİM ŞİRKETİ TL</t>
  </si>
  <si>
    <t>GENEL ŞARTLAR &amp; SÖZLEŞME NOTLARI</t>
  </si>
  <si>
    <t>3-</t>
  </si>
  <si>
    <t>4-</t>
  </si>
  <si>
    <t>5-</t>
  </si>
  <si>
    <t>6-</t>
  </si>
  <si>
    <t xml:space="preserve">SÖZLEŞME NUMARASI </t>
  </si>
  <si>
    <t xml:space="preserve">TARAFLARIN KAŞE İMZASI </t>
  </si>
  <si>
    <t>Ziraat Bankası                  TR72 0001 0021 6994 2088 8850 01</t>
  </si>
  <si>
    <t>Albaraka Türk K.Bank.  TR25 0020 3000 0770 5276 0000 01</t>
  </si>
  <si>
    <t>Albaraka Türk K.Bank</t>
  </si>
  <si>
    <t>1- Ölçüler Net ölçü üzerinden değerlendirilmiştir.</t>
  </si>
  <si>
    <t xml:space="preserve">2- Üretim Öncesi Teyit alınacaktır </t>
  </si>
  <si>
    <t xml:space="preserve">SATIŞ TEMSİLCİSİ BİLGİ ALANI </t>
  </si>
  <si>
    <t>SATIŞ ŞİRKETİ</t>
  </si>
  <si>
    <t xml:space="preserve">HİZMETLER </t>
  </si>
  <si>
    <t>Hizmet Notları Şartları Temsilci Tarafından doldurulur.</t>
  </si>
  <si>
    <t xml:space="preserve">*Nakliye Hizmeti </t>
  </si>
  <si>
    <t xml:space="preserve">*Köpük Slikon Kapı Sarf Hizmeti </t>
  </si>
  <si>
    <t xml:space="preserve">*Kurulum Montaj Hizmeti </t>
  </si>
  <si>
    <t>* Taşıma Hizmeti</t>
  </si>
  <si>
    <t xml:space="preserve">Köpük </t>
  </si>
  <si>
    <t>+</t>
  </si>
  <si>
    <t xml:space="preserve">Nakliye </t>
  </si>
  <si>
    <t>152.26.001</t>
  </si>
  <si>
    <t>Pvc Membran-1 Kanat-Pvc Kasa 10 cm-9 cm 8 mm Takım</t>
  </si>
  <si>
    <t>152.26.003</t>
  </si>
  <si>
    <t>Pvc Membran- Kanat-Pvc Kasa 12 cm-9 cm 8 mm Takım</t>
  </si>
  <si>
    <t>152.26.005</t>
  </si>
  <si>
    <t>Pvc Membran- Kanat-Pvc Kasa 14 cm-9 cm 8 mm Takım</t>
  </si>
  <si>
    <t>152.26.007</t>
  </si>
  <si>
    <t>Pvc Membran- Kanat-Pvc Kasa 16 cm-9 cm 8 mm Takım</t>
  </si>
  <si>
    <t>152.26.011</t>
  </si>
  <si>
    <t>Pvc Membran-1 Kanat-Pvc Kasa 10 cm-9 cm 10 mm Takım</t>
  </si>
  <si>
    <t>152.26.013</t>
  </si>
  <si>
    <t>Pvc Membran-1 Kanat-Pvc Kasa 12 cm-9 cm 10 mm Takım</t>
  </si>
  <si>
    <t>152.26.015</t>
  </si>
  <si>
    <t>Pvc Membran-1 Kanat-Pvc Kasa 14 cm-9 cm 10 mm Takım</t>
  </si>
  <si>
    <t>152.26.017</t>
  </si>
  <si>
    <t>Pvc Membran-1 Kanat-Pvc Kasa 16 cm-9 cm 10 mm Takım</t>
  </si>
  <si>
    <t>152.26.021</t>
  </si>
  <si>
    <t>Lake-1 Kanat-Pvc Kasa 10 cm-9 cm 10 mm Takım</t>
  </si>
  <si>
    <t>152.26.023</t>
  </si>
  <si>
    <t>Lake-1 Kanat-Pvc Kasa 12 cm-9 cm 10 mm Takım</t>
  </si>
  <si>
    <t>152.26.025</t>
  </si>
  <si>
    <t>Lake-1 Kanat-Pvc Kasa 14 cm-9 cm 10 mm Takım</t>
  </si>
  <si>
    <t>152.26.027</t>
  </si>
  <si>
    <t>Lake-1 Kanat-Pvc Kasa 16 cm-9 cm 10 mm Takım</t>
  </si>
  <si>
    <t>152.26.030</t>
  </si>
  <si>
    <t>Camlı Çıtalı (Cam Hariç) Fiyat Adeti</t>
  </si>
  <si>
    <t>152.26.031</t>
  </si>
  <si>
    <t>Oda&amp;Kilit-Menteşe Takım</t>
  </si>
  <si>
    <t>152.26.032</t>
  </si>
  <si>
    <t xml:space="preserve">Silindirli Kilit Menteşe Takım </t>
  </si>
  <si>
    <t>152.26.033</t>
  </si>
  <si>
    <t>Pervaz Takımı 9cm*18mm Fiyat Farkı Adet</t>
  </si>
  <si>
    <t>152.27.001</t>
  </si>
  <si>
    <t xml:space="preserve">10 CM KASA-9 CM 8 MM Pervaz TAKIM </t>
  </si>
  <si>
    <t>152.27.003</t>
  </si>
  <si>
    <t xml:space="preserve">12 CM KASA-9 CM 8 MM Pervaz TAKIM </t>
  </si>
  <si>
    <t>152.27.005</t>
  </si>
  <si>
    <t xml:space="preserve">14 CM KASA-9 CM 8 MM Pervaz TAKIM </t>
  </si>
  <si>
    <t>152.27.007</t>
  </si>
  <si>
    <t xml:space="preserve">16 CM KASA-9 CM 8 MM Pervaz TAKIM </t>
  </si>
  <si>
    <t>152.27.009</t>
  </si>
  <si>
    <t xml:space="preserve">20 CM KASA-9 CM 8 MM Pervaz TAKIM </t>
  </si>
  <si>
    <t>152.27.011</t>
  </si>
  <si>
    <t xml:space="preserve">10 CM KASA-9 CM 10 MM Pervaz TAKIM </t>
  </si>
  <si>
    <t>152.27.013</t>
  </si>
  <si>
    <t xml:space="preserve">12 CM KASA-9 CM 10 MM Pervaz TAKIM </t>
  </si>
  <si>
    <t>152.27.015</t>
  </si>
  <si>
    <t xml:space="preserve">14 CM KASA-9 CM 10 MM Pervaz TAKIM </t>
  </si>
  <si>
    <t>152.27.017</t>
  </si>
  <si>
    <t xml:space="preserve">16 CM KASA-9 CM 10 MM Pervaz TAKIM </t>
  </si>
  <si>
    <t>152.27.019</t>
  </si>
  <si>
    <t xml:space="preserve">20 CM KASA-9 CM 10 MM Pervaz TAKIM </t>
  </si>
  <si>
    <t>151.10.0001</t>
  </si>
  <si>
    <t>Pvc Camlı Kanat 1- Membran</t>
  </si>
  <si>
    <t>151.10.0002</t>
  </si>
  <si>
    <t xml:space="preserve">Pvc Camlı Kanat 2-Membran </t>
  </si>
  <si>
    <t>151.10.0003</t>
  </si>
  <si>
    <t>Pvc Camlı Kanat 1-Newlıne</t>
  </si>
  <si>
    <t>151.10.0004</t>
  </si>
  <si>
    <t>Pvc Camlı Kanat 2-Newlıne</t>
  </si>
  <si>
    <t>151.10.0005</t>
  </si>
  <si>
    <t>Pvc Camlı Kanat 1- Fugalı</t>
  </si>
  <si>
    <t>151.10.0006</t>
  </si>
  <si>
    <t xml:space="preserve">Pvc Camlı Kanat 2-Fugalı </t>
  </si>
  <si>
    <t>151.10.0007</t>
  </si>
  <si>
    <t>Pvc Camlı Kanat 1- Baroniel</t>
  </si>
  <si>
    <t>151.10.0008</t>
  </si>
  <si>
    <t xml:space="preserve">Pvc Camlı Kanat 2-Baroniel </t>
  </si>
  <si>
    <t>151.10.0025</t>
  </si>
  <si>
    <t>Pvc Camlı Yavru Kanat Membran (20-50 cm)</t>
  </si>
  <si>
    <t>151.10.0028</t>
  </si>
  <si>
    <t>Pvc Camlı Yavru Kanat Newlıne (20-50 cm)</t>
  </si>
  <si>
    <t>151.10.0031</t>
  </si>
  <si>
    <t>Pvc Camlı Yavru Kanat Fugalı (20-50 cm)</t>
  </si>
  <si>
    <t>151.10.0034</t>
  </si>
  <si>
    <t>Pvc Camlı Yavru Kanat Baroniel (20-50 cm)</t>
  </si>
  <si>
    <t>151.10.0037</t>
  </si>
  <si>
    <t xml:space="preserve">Pvc Kapalı Kanat 1-Membran </t>
  </si>
  <si>
    <t>151.10.0038</t>
  </si>
  <si>
    <t xml:space="preserve">Pvc Kapalı Kanat 2-Membran </t>
  </si>
  <si>
    <t>151.10.0039</t>
  </si>
  <si>
    <t xml:space="preserve">Pvc Kapalı Kanat 1-Newlıne </t>
  </si>
  <si>
    <t>151.10.0040</t>
  </si>
  <si>
    <t xml:space="preserve">Pvc Kapalı Kanat 2-Newlıne </t>
  </si>
  <si>
    <t>151.10.0041</t>
  </si>
  <si>
    <t xml:space="preserve">Pvc Kapalı Kanat 1-Fugalı </t>
  </si>
  <si>
    <t>151.10.0042</t>
  </si>
  <si>
    <t xml:space="preserve">Pvc Kapalı Kanat 2-Fugalı </t>
  </si>
  <si>
    <t>151.10.0043</t>
  </si>
  <si>
    <t xml:space="preserve">Pvc Kapalı Kanat 1-Baroniel </t>
  </si>
  <si>
    <t>151.10.0044</t>
  </si>
  <si>
    <t xml:space="preserve">Pvc Kapalı Kanat 2-Baroniel </t>
  </si>
  <si>
    <t>151.10.0061</t>
  </si>
  <si>
    <t>Pvc Kapalı Yavru Kanat Membran (20-50 cm)</t>
  </si>
  <si>
    <t>151.10.0064</t>
  </si>
  <si>
    <t>Pvc Kapalı Yavru Kanat Newlıne (20-50 cm)</t>
  </si>
  <si>
    <t>151.10.0067</t>
  </si>
  <si>
    <t>Pvc Kapalı Yavru Kanat Fugalı (20-50 cm)</t>
  </si>
  <si>
    <t>151.10.0070</t>
  </si>
  <si>
    <t>Pvc Kapalı Yavru Kanat Baroniel (20-50 cm)</t>
  </si>
  <si>
    <t>151.10.0201</t>
  </si>
  <si>
    <t>18*45 Lik Oda Kiliti ve 2mm Menteşe Takımı</t>
  </si>
  <si>
    <t>151.10.0202</t>
  </si>
  <si>
    <t>18*45 Lik Wc Kiliti ve 2mm Menteşe Takımı</t>
  </si>
  <si>
    <t>151.10.0203</t>
  </si>
  <si>
    <t>18*45 Lik Silindirli Kiliti ve 2mm Menteşe Takımı</t>
  </si>
  <si>
    <t>151.10.0204</t>
  </si>
  <si>
    <t>Raylı Kapı Aksesuar ve 2mm Menteşe Takımı</t>
  </si>
  <si>
    <t>151.10.0205</t>
  </si>
  <si>
    <t>18*45Lİk Silindirli Oda Plastik ve 2,5mm Menteşe Takımı</t>
  </si>
  <si>
    <t>151.10.0206</t>
  </si>
  <si>
    <t>Lake Kapalı Kanat 1</t>
  </si>
  <si>
    <t>151.10.0207</t>
  </si>
  <si>
    <t>Lake Kapalı Kanat 2</t>
  </si>
  <si>
    <t>151.10.0208</t>
  </si>
  <si>
    <t>Lake Polikarbon 0,65 m2 Camlı Kanat 2</t>
  </si>
  <si>
    <t>151.10.0209</t>
  </si>
  <si>
    <t>Lake Polikarbon 1,10 m2 Camlı Kanat 2</t>
  </si>
  <si>
    <t>151.10.0210</t>
  </si>
  <si>
    <t>Lake Camlı Kanat 1</t>
  </si>
  <si>
    <t>151.10.0211</t>
  </si>
  <si>
    <t>Lake Camlı Kanat 2</t>
  </si>
  <si>
    <t>151.10.1015</t>
  </si>
  <si>
    <t>İç Kapı Pvc Membran Panel 6 mm 93*210 cm</t>
  </si>
  <si>
    <t>151.10.1020</t>
  </si>
  <si>
    <t>İç Kapı Pvc Membran Panel 6 mm 83*210 cm</t>
  </si>
  <si>
    <t>151.10.1021</t>
  </si>
  <si>
    <t>Pvc Membran Panel 6 mm 83*220 cm</t>
  </si>
  <si>
    <t>151.10.1040</t>
  </si>
  <si>
    <t>Pvc Panel 4 mm 93*210 cm</t>
  </si>
  <si>
    <t>151.10.1045</t>
  </si>
  <si>
    <t>Pvc Panel 4 mm 83*210 cm</t>
  </si>
  <si>
    <t>151.10.1053</t>
  </si>
  <si>
    <t>Pvc Düz Panel 6 mm 83*210 cm</t>
  </si>
  <si>
    <t>151.10.1054</t>
  </si>
  <si>
    <t>Pvc Düz Panel 6 mm 93*210 cm</t>
  </si>
  <si>
    <t>151.10.1055</t>
  </si>
  <si>
    <t>Ham Kapalı Kanat 1</t>
  </si>
  <si>
    <t>151.10.1056</t>
  </si>
  <si>
    <t>Ham Kapalı Kanat 2</t>
  </si>
  <si>
    <t>151.10.1057</t>
  </si>
  <si>
    <t>Ham Camlı Kanat 1</t>
  </si>
  <si>
    <t>151.10.1058</t>
  </si>
  <si>
    <t>Ham Camlı Kanat 2</t>
  </si>
  <si>
    <t>151.10.1059</t>
  </si>
  <si>
    <t>Ham Panel 6mm 83*210 cm</t>
  </si>
  <si>
    <t>151.10.1060</t>
  </si>
  <si>
    <t>Ham Panel 6mm 93*210cm</t>
  </si>
  <si>
    <t>151.10.1061</t>
  </si>
  <si>
    <t>PVC  Kanat Giyotin-1 ( Polikarbon 0,65 m2)</t>
  </si>
  <si>
    <t>151.10.1062</t>
  </si>
  <si>
    <t>PVC  Kanat Giyotin-1( Polikarbon 1,10 m2)</t>
  </si>
  <si>
    <t>151.08.0001</t>
  </si>
  <si>
    <t>Pvc Mdf  Düz Kasa 36 mm 10*210 Cm</t>
  </si>
  <si>
    <t>151.08.0003</t>
  </si>
  <si>
    <t>Pvc Mdf  Düz Kasa 36 mm 12*210 Cm</t>
  </si>
  <si>
    <t>151.08.0005</t>
  </si>
  <si>
    <t>Pvc Mdf  Düz Kasa 36 mm 14*210 Cm</t>
  </si>
  <si>
    <t>151.08.0007</t>
  </si>
  <si>
    <t>Pvc Mdf  Düz Kasa 36 mm 16*210 Cm</t>
  </si>
  <si>
    <t>151.08.0009</t>
  </si>
  <si>
    <t>Pvc Mdf Düz Kasa 36 mm 18*210 Cm</t>
  </si>
  <si>
    <t>151.08.0011</t>
  </si>
  <si>
    <t>Pvc Mdf Düz Kasa 36 mm 20*210 Cm</t>
  </si>
  <si>
    <t>151.08.0401</t>
  </si>
  <si>
    <t>Pvc Plastik Düz Kasa 36 mm 10*210 Cm</t>
  </si>
  <si>
    <t>151.08.0402</t>
  </si>
  <si>
    <t>Pvc Plastik Düz Kasa 36 mm 12*210 Cm</t>
  </si>
  <si>
    <t>151.08.0405</t>
  </si>
  <si>
    <t>Pvc Plastik Bombeli  Kasa 36 mm 15*210 Cm</t>
  </si>
  <si>
    <t>151.08.0407</t>
  </si>
  <si>
    <t>Pvc Plastik Düz Kasa 36 mm 16*210 Cm</t>
  </si>
  <si>
    <t>151.08.0411</t>
  </si>
  <si>
    <t>Pvc Plastik Düz Kasa 36 mm 20*210 Cm</t>
  </si>
  <si>
    <t>151.08.0426</t>
  </si>
  <si>
    <t>Pvc Plastik Düz Kasa 36 mm 20*220 Cm</t>
  </si>
  <si>
    <t>151.08.0701</t>
  </si>
  <si>
    <t xml:space="preserve">Kasa-Pervaz Takım Sarfı 10+12'lük (220 Cm) Pvc MDF </t>
  </si>
  <si>
    <t>151.08.0702</t>
  </si>
  <si>
    <t xml:space="preserve">Kasa-Pervaz Takım Sarfı 14+16 'lik ( 220 Cm) Pvc  MDF </t>
  </si>
  <si>
    <t>151.08.0703</t>
  </si>
  <si>
    <t>Kasa-Pervaz Takım Sarfı 18+20'lik ( 220 Cm)Pvc  MDF</t>
  </si>
  <si>
    <t>151.08.0705</t>
  </si>
  <si>
    <t xml:space="preserve"> Kasa-Pervaz Takım Kartonsuz Sarfı 10+12'lük (220 Cm) Pvc MDF</t>
  </si>
  <si>
    <t>151.08.0706</t>
  </si>
  <si>
    <t xml:space="preserve">Kasa-Pervaz Takım Kartonsuz Sarfı 14+16 'lik </t>
  </si>
  <si>
    <t>151.08.0707</t>
  </si>
  <si>
    <t xml:space="preserve">Kasa-Pervaz Takım Kartonsuz Sarfı 20+22'lik ( 220 Cm)Pvc  MDF </t>
  </si>
  <si>
    <t>151.08.0709</t>
  </si>
  <si>
    <t xml:space="preserve">Kasa-Pervaz Takım  Sarfı 12 'lük ( 220 Cm) Pvc Plastik </t>
  </si>
  <si>
    <t>151.08.0710</t>
  </si>
  <si>
    <t xml:space="preserve"> Kasa-Pervaz Takım  Sarfı 16 'lik ( 220 Cm) Pvc Plastik</t>
  </si>
  <si>
    <t>151.08.0711</t>
  </si>
  <si>
    <t xml:space="preserve">Kasa-Pervaz Takım  Sarfı  20'lik ( 220 Cm) Pvc Plastik </t>
  </si>
  <si>
    <t>151.09.0002</t>
  </si>
  <si>
    <t>Pvc Mdf Düz Pervaz 8*3,5 cm 10 mm 220 Cm</t>
  </si>
  <si>
    <t>151.09.0010</t>
  </si>
  <si>
    <t>Pvc Mdf Düz Pervaz 8*3,5 cm 8 mm 220 Cm</t>
  </si>
  <si>
    <t>151.09.0012</t>
  </si>
  <si>
    <t>Pvc Mdf Düz Pervaz 9*3,5 cm 10 mm 220 Cm</t>
  </si>
  <si>
    <t>151.09.0017</t>
  </si>
  <si>
    <t>Pvc Düz Pervaz 9*3,5 cm 18mm 220 cm</t>
  </si>
  <si>
    <t>151.09.0021</t>
  </si>
  <si>
    <t xml:space="preserve">Pvc Mdf Düz Pervaz 10*3,5 cm 10 mm 210 Cm </t>
  </si>
  <si>
    <t>151.09.0024</t>
  </si>
  <si>
    <t>Pvc Mdf Düz Pervaz 9*3,5 cm 8 mm 210 Cm</t>
  </si>
  <si>
    <t>151.09.0040</t>
  </si>
  <si>
    <t xml:space="preserve">Pvc Mdf Düz Pervaz 16*3,5 cm 8 mm 210 Cm </t>
  </si>
  <si>
    <t>151.09.0094</t>
  </si>
  <si>
    <t xml:space="preserve"> Pvc Mdf Düz Pervaz 9*5 cm 10 mm 220 Cm</t>
  </si>
  <si>
    <t>151.09.0102</t>
  </si>
  <si>
    <t>Pvc Düz Pervaz 10*3,5 cm 8mm 220 cm</t>
  </si>
  <si>
    <t>151.09.0104</t>
  </si>
  <si>
    <t xml:space="preserve">Pvc Mdf Düz Pervaz 9*4,5 cm 10 mm 220 Cm </t>
  </si>
  <si>
    <t>151.09.0334</t>
  </si>
  <si>
    <t xml:space="preserve">Pvc Motifli Pervaz-2- 3,5 220 Cm </t>
  </si>
  <si>
    <t>151.09.0342</t>
  </si>
  <si>
    <t>Pvc Mdf Düz Pervaz 10*3,5 cm 18 mm 220 Cm</t>
  </si>
  <si>
    <t>151.09.0382</t>
  </si>
  <si>
    <t>Pvc  Mdf Süpürgelik 9 cm 10 mm 280 mm</t>
  </si>
  <si>
    <t>151.09.0402</t>
  </si>
  <si>
    <t>PVC.Kap.Düz.Plastik Pervaz 9*4,50 Cm  220 Cm</t>
  </si>
  <si>
    <t>151.09.0408</t>
  </si>
  <si>
    <t>Pvc Kap.Plastik Düz Pervaz 9*7,5 cm 220 cm</t>
  </si>
  <si>
    <t>151.11.0002</t>
  </si>
  <si>
    <t>Pvc Mdf Cam Çıtası 22 mm 2,2*280 cm</t>
  </si>
  <si>
    <t>151.11.0004</t>
  </si>
  <si>
    <t>Ham Mdf Cam Çıtası 22 mm 2,2*280 cm</t>
  </si>
  <si>
    <t>151.11.0006</t>
  </si>
  <si>
    <t>Ham Mdf Dekoratif Damaksız (Özel-2) 10 mm 5*280 cm</t>
  </si>
  <si>
    <t>151.11.0011</t>
  </si>
  <si>
    <t>Pvc Mdf Karolaj Çıtası 10 mm 3*280 cm</t>
  </si>
  <si>
    <t>152.44.0001</t>
  </si>
  <si>
    <t xml:space="preserve">Mutfak-Mdflam Gövde Beyaz-Kapak Mdflam Beyaz Metre </t>
  </si>
  <si>
    <t>152.44.0002</t>
  </si>
  <si>
    <t xml:space="preserve">Mutfak-Mdflam Gövde Beyaz-Kapak Mdflam Renkli Metre </t>
  </si>
  <si>
    <t>152.44.0003</t>
  </si>
  <si>
    <t xml:space="preserve">Mutfak-Mdflam Gövde Beyaz-Kapak Hıghgloss Beyaz Metre </t>
  </si>
  <si>
    <t>152.44.0004</t>
  </si>
  <si>
    <t xml:space="preserve">Mutfak-Mdflam Gövde Beyaz-Kapak Hıghgloss Renkli Metre </t>
  </si>
  <si>
    <t>152.44.0008</t>
  </si>
  <si>
    <t xml:space="preserve">Mutfak-Mdflam Gövde Beyaz-Kapak Acrilik Beyaz Metre </t>
  </si>
  <si>
    <t>152.44.0009</t>
  </si>
  <si>
    <t xml:space="preserve">Mutfak-Mdflam Gövde Beyaz-Kapak u Acrilik Renkli Metre </t>
  </si>
  <si>
    <t>152.44.0005</t>
  </si>
  <si>
    <t xml:space="preserve">Mutfak-Mdflam Gövde Beyaz-Kapak Membran Motifsiz Metre </t>
  </si>
  <si>
    <t>152.44.0006</t>
  </si>
  <si>
    <t>Mutfak-Mdflam Gövde Beyaz-Kapak Membran Motifli Metre</t>
  </si>
  <si>
    <t>152.44.0012</t>
  </si>
  <si>
    <t>Mutfak-Mdflam Gövde Beyaz-Kapak Lake Motifsiz Metre</t>
  </si>
  <si>
    <t>152.44.0013</t>
  </si>
  <si>
    <t>Mutfak-Mdflam Gövde Beyaz-Kapak Lake Motifli Metre</t>
  </si>
  <si>
    <t>HİZMET GRUBU</t>
  </si>
  <si>
    <t xml:space="preserve">SÖZLEŞME HİZMET  NOTLARI </t>
  </si>
  <si>
    <t>MONTAJ SÖZLEŞMESİ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</si>
</sst>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164" formatCode="[$-F800]dddd\,\ mmmm\ dd\,\ yyyy"/>
  </numFmts>
  <fonts count="25" x14ac:knownFonts="1">
    <font>
      <sz val="11"/>
      <color theme="1"/>
      <name val="Calibri"/>
      <family val="2"/>
      <scheme val="minor"/>
    </font>
    <font>
      <sz val="11"/>
      <color theme="1"/>
      <name val="Calibri"/>
      <family val="2"/>
      <scheme val="minor"/>
    </font>
    <font>
      <sz val="11"/>
      <color rgb="FF000066"/>
      <name val="Times New Roman"/>
      <family val="1"/>
      <charset val="162"/>
    </font>
    <font>
      <sz val="11"/>
      <color theme="1"/>
      <name val="Times New Roman"/>
      <family val="1"/>
      <charset val="162"/>
    </font>
    <font>
      <i/>
      <sz val="11"/>
      <color rgb="FF000066"/>
      <name val="Times New Roman"/>
      <family val="1"/>
      <charset val="162"/>
    </font>
    <font>
      <b/>
      <sz val="14"/>
      <color rgb="FF000066"/>
      <name val="Times New Roman"/>
      <family val="1"/>
      <charset val="162"/>
    </font>
    <font>
      <sz val="12"/>
      <color theme="1"/>
      <name val="Times New Roman"/>
      <family val="1"/>
      <charset val="162"/>
    </font>
    <font>
      <sz val="14"/>
      <color theme="1"/>
      <name val="Times New Roman"/>
      <family val="1"/>
      <charset val="162"/>
    </font>
    <font>
      <b/>
      <sz val="14"/>
      <color theme="1"/>
      <name val="Times New Roman"/>
      <family val="1"/>
      <charset val="162"/>
    </font>
    <font>
      <b/>
      <sz val="16"/>
      <color theme="0"/>
      <name val="Times New Roman"/>
      <family val="1"/>
      <charset val="162"/>
    </font>
    <font>
      <sz val="12"/>
      <color rgb="FF000066"/>
      <name val="Times New Roman"/>
      <family val="1"/>
      <charset val="162"/>
    </font>
    <font>
      <sz val="12"/>
      <name val="Times New Roman"/>
      <family val="1"/>
      <charset val="162"/>
    </font>
    <font>
      <sz val="14"/>
      <name val="Times New Roman"/>
      <family val="1"/>
      <charset val="162"/>
    </font>
    <font>
      <b/>
      <i/>
      <sz val="14"/>
      <color rgb="FF000066"/>
      <name val="Times New Roman"/>
      <family val="1"/>
      <charset val="162"/>
    </font>
    <font>
      <b/>
      <sz val="12"/>
      <color theme="1"/>
      <name val="Times New Roman"/>
      <family val="1"/>
      <charset val="162"/>
    </font>
    <font>
      <b/>
      <sz val="18"/>
      <color theme="0"/>
      <name val="Times New Roman"/>
      <family val="1"/>
      <charset val="162"/>
    </font>
    <font>
      <i/>
      <sz val="12"/>
      <color rgb="FF000066"/>
      <name val="Times New Roman"/>
      <family val="1"/>
      <charset val="162"/>
    </font>
    <font>
      <i/>
      <sz val="14"/>
      <color rgb="FF000066"/>
      <name val="Times New Roman"/>
      <family val="1"/>
      <charset val="162"/>
    </font>
    <font>
      <b/>
      <sz val="16"/>
      <color rgb="FF000066"/>
      <name val="Times New Roman"/>
      <family val="1"/>
      <charset val="162"/>
    </font>
    <font>
      <sz val="13"/>
      <color theme="1"/>
      <name val="Times New Roman"/>
      <family val="1"/>
      <charset val="162"/>
    </font>
    <font>
      <sz val="13"/>
      <color rgb="FFFF0000"/>
      <name val="Times New Roman"/>
      <family val="1"/>
      <charset val="162"/>
    </font>
    <font>
      <sz val="26"/>
      <color rgb="FF002060"/>
      <name val="Times New Roman"/>
      <family val="1"/>
      <charset val="162"/>
    </font>
    <font>
      <b/>
      <i/>
      <sz val="12"/>
      <color rgb="FF000066"/>
      <name val="Times New Roman"/>
      <family val="1"/>
      <charset val="162"/>
    </font>
    <font>
      <b/>
      <i/>
      <sz val="13"/>
      <color rgb="FF000066"/>
      <name val="Times New Roman"/>
      <family val="1"/>
      <charset val="162"/>
    </font>
    <font>
      <b/>
      <sz val="18"/>
      <color rgb="FF000066"/>
      <name val="Times New Roman"/>
      <family val="1"/>
      <charset val="162"/>
    </font>
  </fonts>
  <fills count="3">
    <fill>
      <patternFill patternType="none"/>
    </fill>
    <fill>
      <patternFill patternType="gray125"/>
    </fill>
    <fill>
      <patternFill patternType="solid">
        <fgColor theme="8" tint="-0.499984740745262"/>
        <bgColor indexed="64"/>
      </patternFill>
    </fill>
  </fills>
  <borders count="29">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s>
  <cellStyleXfs count="2">
    <xf numFmtId="0" fontId="0" fillId="0" borderId="0"/>
    <xf numFmtId="44" fontId="1" fillId="0" borderId="0" applyFont="0" applyFill="0" applyBorder="0" applyAlignment="0" applyProtection="0"/>
  </cellStyleXfs>
  <cellXfs count="130">
    <xf numFmtId="0" fontId="0" fillId="0" borderId="0" xfId="0"/>
    <xf numFmtId="0" fontId="0" fillId="0" borderId="0" xfId="0" applyProtection="1">
      <protection locked="0"/>
    </xf>
    <xf numFmtId="0" fontId="21" fillId="0" borderId="0" xfId="0" applyFont="1" applyAlignment="1" applyProtection="1">
      <alignment vertical="center" wrapText="1"/>
      <protection locked="0"/>
    </xf>
    <xf numFmtId="0" fontId="19" fillId="0" borderId="24" xfId="0" applyFont="1" applyBorder="1" applyAlignment="1" applyProtection="1">
      <alignment vertical="center"/>
      <protection locked="0"/>
    </xf>
    <xf numFmtId="0" fontId="19" fillId="0" borderId="12" xfId="0" applyFont="1" applyBorder="1" applyAlignment="1" applyProtection="1">
      <alignment vertical="center"/>
      <protection locked="0"/>
    </xf>
    <xf numFmtId="0" fontId="19" fillId="0" borderId="25" xfId="0" applyFont="1" applyBorder="1" applyAlignment="1" applyProtection="1">
      <alignment vertical="center"/>
      <protection locked="0"/>
    </xf>
    <xf numFmtId="0" fontId="19" fillId="0" borderId="16" xfId="0" applyFont="1" applyBorder="1" applyAlignment="1" applyProtection="1">
      <alignment vertical="center"/>
      <protection locked="0"/>
    </xf>
    <xf numFmtId="0" fontId="19" fillId="0" borderId="17" xfId="0" applyFont="1" applyBorder="1" applyAlignment="1" applyProtection="1">
      <alignment vertical="center"/>
      <protection locked="0"/>
    </xf>
    <xf numFmtId="0" fontId="3" fillId="0" borderId="0" xfId="0" applyFont="1" applyProtection="1">
      <protection locked="0"/>
    </xf>
    <xf numFmtId="0" fontId="11" fillId="0" borderId="7" xfId="0" applyFont="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4" fillId="0" borderId="0" xfId="0" applyFont="1" applyProtection="1">
      <protection locked="0"/>
    </xf>
    <xf numFmtId="0" fontId="13" fillId="0" borderId="0" xfId="0" applyFont="1" applyBorder="1" applyAlignment="1" applyProtection="1">
      <alignment horizontal="right"/>
      <protection locked="0"/>
    </xf>
    <xf numFmtId="44" fontId="14" fillId="0" borderId="0" xfId="1" applyFont="1" applyBorder="1" applyProtection="1">
      <protection locked="0"/>
    </xf>
    <xf numFmtId="44" fontId="8" fillId="0" borderId="0" xfId="1" applyFont="1" applyBorder="1" applyProtection="1">
      <protection locked="0"/>
    </xf>
    <xf numFmtId="0" fontId="17" fillId="0" borderId="0" xfId="0" applyFont="1" applyProtection="1">
      <protection locked="0"/>
    </xf>
    <xf numFmtId="0" fontId="13" fillId="0" borderId="7" xfId="0" applyFont="1" applyBorder="1" applyAlignment="1" applyProtection="1">
      <alignment horizontal="right"/>
    </xf>
    <xf numFmtId="0" fontId="12" fillId="0" borderId="7" xfId="0" applyNumberFormat="1" applyFont="1" applyBorder="1" applyAlignment="1" applyProtection="1">
      <alignment horizontal="center" vertical="center"/>
      <protection locked="0"/>
    </xf>
    <xf numFmtId="0" fontId="0" fillId="0" borderId="0" xfId="0" applyBorder="1" applyProtection="1"/>
    <xf numFmtId="0" fontId="5" fillId="0" borderId="4" xfId="0" applyFont="1" applyBorder="1" applyAlignment="1" applyProtection="1">
      <alignment horizontal="center" vertical="center"/>
    </xf>
    <xf numFmtId="0" fontId="5" fillId="0" borderId="10" xfId="0" applyFont="1" applyBorder="1" applyAlignment="1" applyProtection="1">
      <alignment horizontal="center" vertical="center"/>
    </xf>
    <xf numFmtId="0" fontId="5" fillId="0" borderId="7" xfId="0" applyFont="1" applyBorder="1" applyAlignment="1" applyProtection="1">
      <alignment horizontal="center" vertical="center"/>
    </xf>
    <xf numFmtId="0" fontId="10" fillId="0" borderId="0" xfId="0" applyFont="1" applyAlignment="1" applyProtection="1"/>
    <xf numFmtId="0" fontId="4" fillId="0" borderId="0" xfId="0" applyFont="1" applyProtection="1"/>
    <xf numFmtId="0" fontId="0" fillId="0" borderId="0" xfId="0" applyProtection="1"/>
    <xf numFmtId="44" fontId="8" fillId="0" borderId="0" xfId="1" applyFont="1" applyBorder="1" applyProtection="1"/>
    <xf numFmtId="0" fontId="10" fillId="0" borderId="4" xfId="0" applyFont="1" applyBorder="1" applyProtection="1"/>
    <xf numFmtId="0" fontId="10" fillId="0" borderId="5" xfId="0" applyFont="1" applyBorder="1" applyProtection="1"/>
    <xf numFmtId="0" fontId="13" fillId="0" borderId="0" xfId="0" applyFont="1" applyBorder="1" applyAlignment="1" applyProtection="1">
      <alignment horizontal="right"/>
    </xf>
    <xf numFmtId="44" fontId="12" fillId="0" borderId="7" xfId="1" applyFont="1" applyBorder="1" applyProtection="1"/>
    <xf numFmtId="44" fontId="7" fillId="0" borderId="7" xfId="1" applyFont="1" applyBorder="1" applyProtection="1"/>
    <xf numFmtId="44" fontId="8" fillId="0" borderId="7" xfId="1" applyFont="1" applyBorder="1" applyProtection="1"/>
    <xf numFmtId="44" fontId="6" fillId="0" borderId="7" xfId="1" applyFont="1" applyBorder="1" applyProtection="1"/>
    <xf numFmtId="44" fontId="12" fillId="0" borderId="7" xfId="1" applyFont="1" applyBorder="1" applyAlignment="1" applyProtection="1">
      <alignment horizontal="center" vertical="center"/>
    </xf>
    <xf numFmtId="0" fontId="12" fillId="0" borderId="7" xfId="0" applyFont="1" applyBorder="1" applyAlignment="1" applyProtection="1">
      <alignment horizontal="left" vertical="center"/>
    </xf>
    <xf numFmtId="164" fontId="5" fillId="0" borderId="10" xfId="0" applyNumberFormat="1" applyFont="1" applyBorder="1" applyAlignment="1" applyProtection="1">
      <alignment horizontal="center" vertical="center"/>
    </xf>
    <xf numFmtId="0" fontId="16" fillId="0" borderId="6" xfId="0" applyFont="1" applyBorder="1" applyAlignment="1" applyProtection="1">
      <alignment horizontal="center"/>
    </xf>
    <xf numFmtId="0" fontId="16" fillId="0" borderId="11" xfId="0" applyFont="1" applyBorder="1" applyAlignment="1" applyProtection="1">
      <alignment horizontal="center"/>
    </xf>
    <xf numFmtId="0" fontId="19" fillId="0" borderId="16" xfId="0" applyFont="1" applyBorder="1" applyAlignment="1" applyProtection="1">
      <alignment horizontal="center" vertical="center"/>
      <protection locked="0"/>
    </xf>
    <xf numFmtId="0" fontId="5" fillId="0" borderId="8" xfId="0" applyFont="1" applyBorder="1" applyAlignment="1" applyProtection="1">
      <alignment horizontal="center" vertical="center"/>
    </xf>
    <xf numFmtId="0" fontId="5" fillId="0" borderId="0" xfId="0" applyFont="1" applyBorder="1" applyAlignment="1" applyProtection="1">
      <alignment horizontal="center" vertical="center"/>
      <protection locked="0"/>
    </xf>
    <xf numFmtId="0" fontId="0" fillId="0" borderId="0" xfId="0" applyAlignment="1" applyProtection="1">
      <alignment horizontal="center" vertical="center"/>
    </xf>
    <xf numFmtId="44" fontId="0" fillId="0" borderId="0" xfId="1" applyFont="1" applyProtection="1"/>
    <xf numFmtId="3" fontId="11" fillId="0" borderId="7" xfId="0" applyNumberFormat="1" applyFont="1" applyBorder="1" applyAlignment="1" applyProtection="1">
      <alignment horizontal="center" vertical="center"/>
      <protection locked="0"/>
    </xf>
    <xf numFmtId="0" fontId="21" fillId="0" borderId="0" xfId="0" applyFont="1" applyAlignment="1" applyProtection="1">
      <alignment horizontal="center" vertical="center" wrapText="1"/>
      <protection locked="0"/>
    </xf>
    <xf numFmtId="44" fontId="14" fillId="0" borderId="0" xfId="1" applyFont="1" applyBorder="1" applyProtection="1"/>
    <xf numFmtId="0" fontId="3" fillId="0" borderId="0" xfId="0" applyFont="1" applyProtection="1"/>
    <xf numFmtId="44" fontId="13" fillId="0" borderId="28" xfId="0" applyNumberFormat="1" applyFont="1" applyBorder="1" applyAlignment="1" applyProtection="1">
      <alignment horizontal="right"/>
    </xf>
    <xf numFmtId="44" fontId="13" fillId="0" borderId="27" xfId="0" applyNumberFormat="1" applyFont="1" applyBorder="1" applyAlignment="1" applyProtection="1">
      <alignment horizontal="right"/>
    </xf>
    <xf numFmtId="0" fontId="4" fillId="0" borderId="0" xfId="0" applyFont="1" applyAlignment="1" applyProtection="1">
      <protection locked="0"/>
    </xf>
    <xf numFmtId="0" fontId="16" fillId="0" borderId="0" xfId="0" applyFont="1" applyProtection="1"/>
    <xf numFmtId="0" fontId="2" fillId="0" borderId="0" xfId="0" applyFont="1" applyProtection="1"/>
    <xf numFmtId="0" fontId="5" fillId="0" borderId="26" xfId="0" applyFont="1" applyBorder="1" applyAlignment="1" applyProtection="1">
      <alignment horizontal="center" vertical="center"/>
    </xf>
    <xf numFmtId="0" fontId="5" fillId="0" borderId="27" xfId="0" applyFont="1" applyBorder="1" applyAlignment="1" applyProtection="1">
      <alignment horizontal="center" vertical="center"/>
    </xf>
    <xf numFmtId="0" fontId="19" fillId="0" borderId="15" xfId="0" applyFont="1" applyBorder="1" applyAlignment="1" applyProtection="1">
      <alignment vertical="center"/>
    </xf>
    <xf numFmtId="0" fontId="13" fillId="0" borderId="0" xfId="0" applyFont="1" applyProtection="1">
      <protection locked="0"/>
    </xf>
    <xf numFmtId="0" fontId="16" fillId="0" borderId="1" xfId="0" applyFont="1" applyBorder="1" applyProtection="1"/>
    <xf numFmtId="0" fontId="16" fillId="0" borderId="11" xfId="0" applyFont="1" applyBorder="1" applyProtection="1"/>
    <xf numFmtId="0" fontId="16" fillId="0" borderId="5" xfId="0" applyFont="1" applyBorder="1" applyAlignment="1" applyProtection="1">
      <alignment horizontal="center"/>
    </xf>
    <xf numFmtId="0" fontId="9" fillId="2" borderId="0" xfId="0" applyFont="1" applyFill="1" applyBorder="1" applyAlignment="1" applyProtection="1">
      <alignment horizontal="center" vertical="center"/>
    </xf>
    <xf numFmtId="0" fontId="9" fillId="2" borderId="1" xfId="0" applyFont="1" applyFill="1" applyBorder="1" applyAlignment="1" applyProtection="1">
      <alignment horizontal="center" vertical="center"/>
    </xf>
    <xf numFmtId="0" fontId="21" fillId="0" borderId="0" xfId="0" applyFont="1" applyAlignment="1" applyProtection="1">
      <alignment horizontal="center" vertical="center" wrapText="1"/>
      <protection locked="0"/>
    </xf>
    <xf numFmtId="0" fontId="5" fillId="0" borderId="8"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9" xfId="0" applyFont="1" applyBorder="1" applyAlignment="1" applyProtection="1">
      <alignment horizontal="center" vertical="center"/>
    </xf>
    <xf numFmtId="0" fontId="5" fillId="0" borderId="3"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22" fillId="0" borderId="0" xfId="0" applyFont="1" applyAlignment="1" applyProtection="1">
      <alignment horizontal="left" vertical="center"/>
    </xf>
    <xf numFmtId="0" fontId="15" fillId="2" borderId="0"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5" fillId="0" borderId="6" xfId="0" applyFont="1" applyBorder="1" applyAlignment="1" applyProtection="1">
      <alignment horizontal="center" vertical="center"/>
      <protection locked="0"/>
    </xf>
    <xf numFmtId="0" fontId="5" fillId="0" borderId="2" xfId="0" applyFont="1" applyBorder="1" applyAlignment="1" applyProtection="1">
      <alignment horizontal="center" vertical="center"/>
    </xf>
    <xf numFmtId="0" fontId="5" fillId="0" borderId="13" xfId="0" applyFont="1" applyBorder="1" applyAlignment="1" applyProtection="1">
      <alignment horizontal="center" vertical="center"/>
    </xf>
    <xf numFmtId="0" fontId="19" fillId="0" borderId="3" xfId="0" applyFont="1" applyBorder="1" applyAlignment="1" applyProtection="1">
      <alignment horizontal="left"/>
      <protection locked="0"/>
    </xf>
    <xf numFmtId="0" fontId="19" fillId="0" borderId="2" xfId="0" applyFont="1" applyBorder="1" applyAlignment="1" applyProtection="1">
      <alignment horizontal="left"/>
      <protection locked="0"/>
    </xf>
    <xf numFmtId="0" fontId="19" fillId="0" borderId="13" xfId="0" applyFont="1" applyBorder="1" applyAlignment="1" applyProtection="1">
      <alignment horizontal="left"/>
      <protection locked="0"/>
    </xf>
    <xf numFmtId="0" fontId="19" fillId="0" borderId="4" xfId="0" applyFont="1" applyBorder="1" applyAlignment="1" applyProtection="1">
      <alignment horizontal="left"/>
      <protection locked="0"/>
    </xf>
    <xf numFmtId="0" fontId="19" fillId="0" borderId="0" xfId="0" applyFont="1" applyBorder="1" applyAlignment="1" applyProtection="1">
      <alignment horizontal="left"/>
      <protection locked="0"/>
    </xf>
    <xf numFmtId="0" fontId="19" fillId="0" borderId="1" xfId="0" applyFont="1" applyBorder="1" applyAlignment="1" applyProtection="1">
      <alignment horizontal="left"/>
      <protection locked="0"/>
    </xf>
    <xf numFmtId="0" fontId="20" fillId="0" borderId="4" xfId="0" applyFont="1" applyBorder="1" applyAlignment="1" applyProtection="1">
      <alignment horizontal="left"/>
      <protection locked="0"/>
    </xf>
    <xf numFmtId="0" fontId="20" fillId="0" borderId="0" xfId="0" applyFont="1" applyBorder="1" applyAlignment="1" applyProtection="1">
      <alignment horizontal="left"/>
      <protection locked="0"/>
    </xf>
    <xf numFmtId="0" fontId="20" fillId="0" borderId="1" xfId="0" applyFont="1" applyBorder="1" applyAlignment="1" applyProtection="1">
      <alignment horizontal="left"/>
      <protection locked="0"/>
    </xf>
    <xf numFmtId="0" fontId="19" fillId="0" borderId="21" xfId="0" applyFont="1" applyBorder="1" applyAlignment="1" applyProtection="1">
      <alignment horizontal="center" vertical="center"/>
    </xf>
    <xf numFmtId="0" fontId="19" fillId="0" borderId="22" xfId="0" applyFont="1" applyBorder="1" applyAlignment="1" applyProtection="1">
      <alignment horizontal="center" vertical="center"/>
    </xf>
    <xf numFmtId="0" fontId="19" fillId="0" borderId="23" xfId="0" applyFont="1" applyBorder="1" applyAlignment="1" applyProtection="1">
      <alignment horizontal="center" vertical="center"/>
    </xf>
    <xf numFmtId="0" fontId="19" fillId="0" borderId="12" xfId="0" applyFont="1" applyBorder="1" applyAlignment="1" applyProtection="1">
      <alignment horizontal="left" vertical="center"/>
      <protection locked="0"/>
    </xf>
    <xf numFmtId="0" fontId="19" fillId="0" borderId="18" xfId="0" applyFont="1" applyBorder="1" applyAlignment="1" applyProtection="1">
      <alignment horizontal="left" vertical="center"/>
      <protection locked="0"/>
    </xf>
    <xf numFmtId="0" fontId="19" fillId="0" borderId="19" xfId="0" applyFont="1" applyBorder="1" applyAlignment="1" applyProtection="1">
      <alignment horizontal="left" vertical="center"/>
      <protection locked="0"/>
    </xf>
    <xf numFmtId="0" fontId="19" fillId="0" borderId="20" xfId="0" applyFont="1" applyBorder="1" applyAlignment="1" applyProtection="1">
      <alignment horizontal="left" vertical="center"/>
      <protection locked="0"/>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5" fillId="0" borderId="0" xfId="0" applyFont="1" applyBorder="1" applyAlignment="1" applyProtection="1">
      <alignment horizontal="center" vertical="center"/>
    </xf>
    <xf numFmtId="0" fontId="5" fillId="0" borderId="1" xfId="0" applyFont="1" applyBorder="1" applyAlignment="1" applyProtection="1">
      <alignment horizontal="center" vertical="center"/>
    </xf>
    <xf numFmtId="0" fontId="5" fillId="0" borderId="5" xfId="0" applyFont="1" applyBorder="1" applyAlignment="1" applyProtection="1">
      <alignment horizontal="center" vertical="center"/>
    </xf>
    <xf numFmtId="0" fontId="5" fillId="0" borderId="6" xfId="0" applyFont="1" applyBorder="1" applyAlignment="1" applyProtection="1">
      <alignment horizontal="center" vertical="center"/>
    </xf>
    <xf numFmtId="0" fontId="5" fillId="0" borderId="11" xfId="0" applyFont="1" applyBorder="1" applyAlignment="1" applyProtection="1">
      <alignment horizontal="center" vertical="center"/>
    </xf>
    <xf numFmtId="0" fontId="19" fillId="0" borderId="5" xfId="0" applyFont="1" applyBorder="1" applyAlignment="1" applyProtection="1">
      <alignment horizontal="left"/>
      <protection locked="0"/>
    </xf>
    <xf numFmtId="0" fontId="19" fillId="0" borderId="6" xfId="0" applyFont="1" applyBorder="1" applyAlignment="1" applyProtection="1">
      <alignment horizontal="left"/>
      <protection locked="0"/>
    </xf>
    <xf numFmtId="0" fontId="19" fillId="0" borderId="11" xfId="0" applyFont="1" applyBorder="1" applyAlignment="1" applyProtection="1">
      <alignment horizontal="left"/>
      <protection locked="0"/>
    </xf>
    <xf numFmtId="0" fontId="18" fillId="0" borderId="8" xfId="0" applyFont="1" applyBorder="1" applyAlignment="1" applyProtection="1">
      <alignment horizontal="center" vertical="center"/>
    </xf>
    <xf numFmtId="0" fontId="18" fillId="0" borderId="9" xfId="0" applyFont="1" applyBorder="1" applyAlignment="1" applyProtection="1">
      <alignment horizontal="center" vertical="center"/>
    </xf>
    <xf numFmtId="0" fontId="18" fillId="0" borderId="14" xfId="0" applyFont="1" applyBorder="1" applyAlignment="1" applyProtection="1">
      <alignment horizontal="center" vertical="center"/>
    </xf>
    <xf numFmtId="0" fontId="18" fillId="0" borderId="3" xfId="0" applyFont="1" applyBorder="1" applyAlignment="1" applyProtection="1">
      <alignment horizontal="center" vertical="center"/>
    </xf>
    <xf numFmtId="0" fontId="18" fillId="0" borderId="13" xfId="0" applyFont="1" applyBorder="1" applyAlignment="1" applyProtection="1">
      <alignment horizontal="center" vertical="center"/>
    </xf>
    <xf numFmtId="0" fontId="10" fillId="0" borderId="0" xfId="0" applyFont="1" applyAlignment="1" applyProtection="1">
      <alignment horizontal="left" wrapText="1"/>
    </xf>
    <xf numFmtId="0" fontId="23" fillId="0" borderId="21" xfId="0" applyFont="1" applyBorder="1" applyAlignment="1" applyProtection="1">
      <alignment horizontal="center"/>
    </xf>
    <xf numFmtId="0" fontId="23" fillId="0" borderId="23" xfId="0" applyFont="1" applyBorder="1" applyAlignment="1" applyProtection="1">
      <alignment horizontal="center"/>
    </xf>
    <xf numFmtId="0" fontId="13" fillId="0" borderId="5" xfId="0" applyFont="1" applyBorder="1" applyAlignment="1" applyProtection="1">
      <alignment horizontal="center"/>
    </xf>
    <xf numFmtId="0" fontId="13" fillId="0" borderId="11" xfId="0" applyFont="1" applyBorder="1" applyAlignment="1" applyProtection="1">
      <alignment horizontal="center"/>
    </xf>
    <xf numFmtId="0" fontId="5" fillId="0" borderId="14" xfId="0" applyFont="1" applyBorder="1" applyAlignment="1" applyProtection="1">
      <alignment horizontal="center" vertical="center"/>
      <protection locked="0"/>
    </xf>
    <xf numFmtId="0" fontId="0" fillId="0" borderId="0" xfId="0" applyAlignment="1" applyProtection="1">
      <alignment horizontal="center"/>
    </xf>
    <xf numFmtId="0" fontId="24" fillId="0" borderId="0" xfId="0" applyFont="1" applyAlignment="1" applyProtection="1">
      <alignment horizontal="left"/>
    </xf>
    <xf numFmtId="0" fontId="10" fillId="0" borderId="0" xfId="0" applyFont="1" applyAlignment="1" applyProtection="1">
      <alignment horizontal="left"/>
      <protection locked="0"/>
    </xf>
    <xf numFmtId="0" fontId="18" fillId="0" borderId="2" xfId="0" applyFont="1" applyBorder="1" applyAlignment="1" applyProtection="1">
      <alignment horizontal="center" vertical="center"/>
    </xf>
    <xf numFmtId="0" fontId="10" fillId="0" borderId="4" xfId="0" applyFont="1" applyBorder="1" applyAlignment="1" applyProtection="1">
      <alignment horizontal="left" vertical="center"/>
    </xf>
    <xf numFmtId="0" fontId="10" fillId="0" borderId="0" xfId="0" applyFont="1" applyBorder="1" applyAlignment="1" applyProtection="1">
      <alignment horizontal="left" vertical="center"/>
    </xf>
    <xf numFmtId="0" fontId="10" fillId="0" borderId="1" xfId="0" applyFont="1" applyBorder="1" applyAlignment="1" applyProtection="1">
      <alignment horizontal="left" vertical="center"/>
    </xf>
    <xf numFmtId="0" fontId="10" fillId="0" borderId="4" xfId="0" applyFont="1" applyBorder="1" applyAlignment="1" applyProtection="1">
      <alignment horizontal="center"/>
    </xf>
    <xf numFmtId="0" fontId="10" fillId="0" borderId="0" xfId="0" applyFont="1" applyBorder="1" applyAlignment="1" applyProtection="1">
      <alignment horizontal="center"/>
    </xf>
    <xf numFmtId="0" fontId="10" fillId="0" borderId="1" xfId="0" applyFont="1" applyBorder="1" applyAlignment="1" applyProtection="1">
      <alignment horizontal="center"/>
    </xf>
    <xf numFmtId="44" fontId="0" fillId="0" borderId="0" xfId="1" applyFont="1"/>
    <xf numFmtId="0" fontId="12" fillId="0" borderId="7" xfId="0" applyNumberFormat="1" applyFont="1" applyBorder="1" applyAlignment="1" applyProtection="1">
      <alignment horizontal="center" vertical="center"/>
    </xf>
    <xf numFmtId="0" fontId="10" fillId="0" borderId="7" xfId="0" applyFont="1" applyBorder="1" applyAlignment="1" applyProtection="1">
      <alignment horizontal="center" vertical="center"/>
      <protection locked="0"/>
    </xf>
    <xf numFmtId="0" fontId="4" fillId="0" borderId="0" xfId="0" applyFont="1" applyAlignment="1" applyProtection="1"/>
  </cellXfs>
  <cellStyles count="2">
    <cellStyle name="Normal" xfId="0" builtinId="0"/>
    <cellStyle name="ParaBirimi" xfId="1" builtin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168890</xdr:colOff>
      <xdr:row>0</xdr:row>
      <xdr:rowOff>115260</xdr:rowOff>
    </xdr:from>
    <xdr:to>
      <xdr:col>3</xdr:col>
      <xdr:colOff>693966</xdr:colOff>
      <xdr:row>9</xdr:row>
      <xdr:rowOff>58266</xdr:rowOff>
    </xdr:to>
    <xdr:pic>
      <xdr:nvPicPr>
        <xdr:cNvPr id="2" name="Resim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64140" y="115260"/>
          <a:ext cx="2933540" cy="1657506"/>
        </a:xfrm>
        <a:prstGeom prst="rect">
          <a:avLst/>
        </a:prstGeom>
      </xdr:spPr>
    </xdr:pic>
    <xdr:clientData/>
  </xdr:twoCellAnchor>
  <xdr:twoCellAnchor editAs="oneCell">
    <xdr:from>
      <xdr:col>11</xdr:col>
      <xdr:colOff>304960</xdr:colOff>
      <xdr:row>0</xdr:row>
      <xdr:rowOff>155280</xdr:rowOff>
    </xdr:from>
    <xdr:to>
      <xdr:col>12</xdr:col>
      <xdr:colOff>2192203</xdr:colOff>
      <xdr:row>10</xdr:row>
      <xdr:rowOff>26631</xdr:rowOff>
    </xdr:to>
    <xdr:pic>
      <xdr:nvPicPr>
        <xdr:cNvPr id="3" name="Resim 2"/>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279746" y="155280"/>
          <a:ext cx="4037171" cy="1776351"/>
        </a:xfrm>
        <a:prstGeom prst="rect">
          <a:avLst/>
        </a:prstGeom>
      </xdr:spPr>
    </xdr:pic>
    <xdr:clientData/>
  </xdr:twoCellAnchor>
  <xdr:twoCellAnchor editAs="oneCell">
    <xdr:from>
      <xdr:col>2</xdr:col>
      <xdr:colOff>1455964</xdr:colOff>
      <xdr:row>97</xdr:row>
      <xdr:rowOff>108857</xdr:rowOff>
    </xdr:from>
    <xdr:to>
      <xdr:col>12</xdr:col>
      <xdr:colOff>40822</xdr:colOff>
      <xdr:row>101</xdr:row>
      <xdr:rowOff>93609</xdr:rowOff>
    </xdr:to>
    <xdr:pic>
      <xdr:nvPicPr>
        <xdr:cNvPr id="4" name="Resim 3"/>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1918607" y="30275893"/>
          <a:ext cx="16246929" cy="1345466"/>
        </a:xfrm>
        <a:prstGeom prst="rect">
          <a:avLst/>
        </a:prstGeom>
      </xdr:spPr>
    </xdr:pic>
    <xdr:clientData/>
  </xdr:twoCellAnchor>
  <xdr:oneCellAnchor>
    <xdr:from>
      <xdr:col>3</xdr:col>
      <xdr:colOff>2231572</xdr:colOff>
      <xdr:row>17</xdr:row>
      <xdr:rowOff>68035</xdr:rowOff>
    </xdr:from>
    <xdr:ext cx="184731" cy="264560"/>
    <xdr:sp macro="" textlink="">
      <xdr:nvSpPr>
        <xdr:cNvPr id="5" name="Metin kutusu 4"/>
        <xdr:cNvSpPr txBox="1"/>
      </xdr:nvSpPr>
      <xdr:spPr>
        <a:xfrm>
          <a:off x="4736647" y="42209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xdr:oneCellAnchor>
    <xdr:from>
      <xdr:col>13</xdr:col>
      <xdr:colOff>0</xdr:colOff>
      <xdr:row>15</xdr:row>
      <xdr:rowOff>13607</xdr:rowOff>
    </xdr:from>
    <xdr:ext cx="184731" cy="264560"/>
    <xdr:sp macro="" textlink="">
      <xdr:nvSpPr>
        <xdr:cNvPr id="6" name="Metin kutusu 5"/>
        <xdr:cNvSpPr txBox="1"/>
      </xdr:nvSpPr>
      <xdr:spPr>
        <a:xfrm>
          <a:off x="16716375" y="34807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mc:AlternateContent xmlns:mc="http://schemas.openxmlformats.org/markup-compatibility/2006">
    <mc:Choice xmlns:a14="http://schemas.microsoft.com/office/drawing/2010/main" Requires="a14">
      <xdr:twoCellAnchor editAs="oneCell">
        <xdr:from>
          <xdr:col>2</xdr:col>
          <xdr:colOff>600075</xdr:colOff>
          <xdr:row>15</xdr:row>
          <xdr:rowOff>38100</xdr:rowOff>
        </xdr:from>
        <xdr:to>
          <xdr:col>3</xdr:col>
          <xdr:colOff>3743325</xdr:colOff>
          <xdr:row>18</xdr:row>
          <xdr:rowOff>314325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57150</xdr:rowOff>
        </xdr:from>
        <xdr:to>
          <xdr:col>12</xdr:col>
          <xdr:colOff>2419350</xdr:colOff>
          <xdr:row>18</xdr:row>
          <xdr:rowOff>276225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29</xdr:row>
          <xdr:rowOff>314325</xdr:rowOff>
        </xdr:from>
        <xdr:to>
          <xdr:col>3</xdr:col>
          <xdr:colOff>3009900</xdr:colOff>
          <xdr:row>30</xdr:row>
          <xdr:rowOff>314325</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3838575</xdr:colOff>
          <xdr:row>29</xdr:row>
          <xdr:rowOff>323850</xdr:rowOff>
        </xdr:from>
        <xdr:to>
          <xdr:col>5</xdr:col>
          <xdr:colOff>609600</xdr:colOff>
          <xdr:row>30</xdr:row>
          <xdr:rowOff>323850</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1352550</xdr:colOff>
          <xdr:row>29</xdr:row>
          <xdr:rowOff>333375</xdr:rowOff>
        </xdr:from>
        <xdr:to>
          <xdr:col>7</xdr:col>
          <xdr:colOff>114300</xdr:colOff>
          <xdr:row>31</xdr:row>
          <xdr:rowOff>0</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1104900</xdr:colOff>
          <xdr:row>30</xdr:row>
          <xdr:rowOff>19050</xdr:rowOff>
        </xdr:from>
        <xdr:to>
          <xdr:col>9</xdr:col>
          <xdr:colOff>133350</xdr:colOff>
          <xdr:row>30</xdr:row>
          <xdr:rowOff>314325</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30</xdr:row>
          <xdr:rowOff>323850</xdr:rowOff>
        </xdr:from>
        <xdr:to>
          <xdr:col>4</xdr:col>
          <xdr:colOff>1495425</xdr:colOff>
          <xdr:row>31</xdr:row>
          <xdr:rowOff>323850</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30</xdr:row>
          <xdr:rowOff>323850</xdr:rowOff>
        </xdr:from>
        <xdr:to>
          <xdr:col>6</xdr:col>
          <xdr:colOff>828675</xdr:colOff>
          <xdr:row>31</xdr:row>
          <xdr:rowOff>323850</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30</xdr:row>
          <xdr:rowOff>323850</xdr:rowOff>
        </xdr:from>
        <xdr:to>
          <xdr:col>11</xdr:col>
          <xdr:colOff>828675</xdr:colOff>
          <xdr:row>31</xdr:row>
          <xdr:rowOff>323850</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1990725</xdr:colOff>
          <xdr:row>30</xdr:row>
          <xdr:rowOff>9525</xdr:rowOff>
        </xdr:from>
        <xdr:to>
          <xdr:col>12</xdr:col>
          <xdr:colOff>1619250</xdr:colOff>
          <xdr:row>30</xdr:row>
          <xdr:rowOff>304800</xdr:rowOff>
        </xdr:to>
        <xdr:sp macro="" textlink="">
          <xdr:nvSpPr>
            <xdr:cNvPr id="30738" name="Check Box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1537608</xdr:colOff>
      <xdr:row>50</xdr:row>
      <xdr:rowOff>146260</xdr:rowOff>
    </xdr:from>
    <xdr:to>
      <xdr:col>10</xdr:col>
      <xdr:colOff>598715</xdr:colOff>
      <xdr:row>53</xdr:row>
      <xdr:rowOff>107216</xdr:rowOff>
    </xdr:to>
    <xdr:pic>
      <xdr:nvPicPr>
        <xdr:cNvPr id="25" name="Resim 24"/>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4041322" y="15386260"/>
          <a:ext cx="11851822" cy="98149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1181100</xdr:colOff>
          <xdr:row>29</xdr:row>
          <xdr:rowOff>333375</xdr:rowOff>
        </xdr:from>
        <xdr:to>
          <xdr:col>11</xdr:col>
          <xdr:colOff>904875</xdr:colOff>
          <xdr:row>30</xdr:row>
          <xdr:rowOff>295275</xdr:rowOff>
        </xdr:to>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163285</xdr:colOff>
      <xdr:row>56</xdr:row>
      <xdr:rowOff>108858</xdr:rowOff>
    </xdr:from>
    <xdr:to>
      <xdr:col>3</xdr:col>
      <xdr:colOff>688361</xdr:colOff>
      <xdr:row>61</xdr:row>
      <xdr:rowOff>65471</xdr:rowOff>
    </xdr:to>
    <xdr:pic>
      <xdr:nvPicPr>
        <xdr:cNvPr id="27" name="Resim 2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58535" y="16029215"/>
          <a:ext cx="2933540" cy="1657506"/>
        </a:xfrm>
        <a:prstGeom prst="rect">
          <a:avLst/>
        </a:prstGeom>
      </xdr:spPr>
    </xdr:pic>
    <xdr:clientData/>
  </xdr:twoCellAnchor>
  <xdr:twoCellAnchor editAs="oneCell">
    <xdr:from>
      <xdr:col>11</xdr:col>
      <xdr:colOff>326571</xdr:colOff>
      <xdr:row>56</xdr:row>
      <xdr:rowOff>149678</xdr:rowOff>
    </xdr:from>
    <xdr:to>
      <xdr:col>12</xdr:col>
      <xdr:colOff>2213814</xdr:colOff>
      <xdr:row>61</xdr:row>
      <xdr:rowOff>225136</xdr:rowOff>
    </xdr:to>
    <xdr:pic>
      <xdr:nvPicPr>
        <xdr:cNvPr id="28" name="Resim 27"/>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301357" y="16070035"/>
          <a:ext cx="4037171" cy="1776351"/>
        </a:xfrm>
        <a:prstGeom prst="rect">
          <a:avLst/>
        </a:prstGeom>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M102"/>
  <sheetViews>
    <sheetView tabSelected="1" zoomScale="70" zoomScaleNormal="70" zoomScaleSheetLayoutView="70" workbookViewId="0">
      <selection activeCell="D23" sqref="D23:M23"/>
    </sheetView>
  </sheetViews>
  <sheetFormatPr defaultRowHeight="15" x14ac:dyDescent="0.25"/>
  <cols>
    <col min="1" max="1" width="1.42578125" style="1" customWidth="1"/>
    <col min="2" max="2" width="5.5703125" style="1" customWidth="1"/>
    <col min="3" max="3" width="30.5703125" style="1" customWidth="1"/>
    <col min="4" max="4" width="59.85546875" style="1" customWidth="1"/>
    <col min="5" max="5" width="29.28515625" style="1" customWidth="1"/>
    <col min="6" max="6" width="23.140625" style="1" customWidth="1"/>
    <col min="7" max="7" width="17.7109375" style="1" customWidth="1"/>
    <col min="8" max="10" width="20.5703125" style="1" customWidth="1"/>
    <col min="11" max="11" width="10.140625" style="1" customWidth="1"/>
    <col min="12" max="12" width="32.140625" style="1" customWidth="1"/>
    <col min="13" max="13" width="38" style="1" customWidth="1"/>
    <col min="14" max="16384" width="9.140625" style="1"/>
  </cols>
  <sheetData>
    <row r="1" spans="1:13" x14ac:dyDescent="0.25">
      <c r="A1" s="24"/>
      <c r="B1" s="24"/>
      <c r="C1" s="18"/>
      <c r="D1" s="18"/>
      <c r="E1" s="18"/>
      <c r="F1" s="18"/>
      <c r="G1" s="18"/>
      <c r="H1" s="18"/>
      <c r="I1" s="18"/>
      <c r="J1" s="18"/>
      <c r="K1" s="18"/>
      <c r="L1" s="18"/>
      <c r="M1" s="18"/>
    </row>
    <row r="2" spans="1:13" x14ac:dyDescent="0.25">
      <c r="A2" s="24"/>
      <c r="B2" s="24"/>
      <c r="C2" s="18"/>
      <c r="D2" s="18"/>
      <c r="E2" s="18"/>
      <c r="F2" s="18"/>
      <c r="G2" s="18"/>
      <c r="H2" s="18"/>
      <c r="I2" s="18"/>
      <c r="J2" s="18"/>
      <c r="K2" s="18"/>
      <c r="L2" s="18"/>
      <c r="M2" s="18"/>
    </row>
    <row r="3" spans="1:13" x14ac:dyDescent="0.25">
      <c r="A3" s="24"/>
      <c r="B3" s="24"/>
      <c r="C3" s="18"/>
      <c r="D3" s="18"/>
      <c r="E3" s="18"/>
      <c r="F3" s="18"/>
      <c r="G3" s="18"/>
      <c r="H3" s="18"/>
      <c r="I3" s="18"/>
      <c r="J3" s="18"/>
      <c r="K3" s="18"/>
      <c r="L3" s="18"/>
      <c r="M3" s="18"/>
    </row>
    <row r="4" spans="1:13" x14ac:dyDescent="0.25">
      <c r="A4" s="24"/>
      <c r="B4" s="24"/>
      <c r="C4" s="18"/>
      <c r="D4" s="18"/>
      <c r="E4" s="18"/>
      <c r="F4" s="18"/>
      <c r="G4" s="18"/>
      <c r="H4" s="18"/>
      <c r="I4" s="18"/>
      <c r="J4" s="18"/>
      <c r="K4" s="18"/>
      <c r="L4" s="18"/>
      <c r="M4" s="18"/>
    </row>
    <row r="5" spans="1:13" x14ac:dyDescent="0.25">
      <c r="A5" s="24"/>
      <c r="B5" s="24"/>
      <c r="C5" s="18"/>
      <c r="D5" s="18"/>
      <c r="E5" s="18"/>
      <c r="F5" s="18"/>
      <c r="G5" s="18"/>
      <c r="H5" s="18"/>
      <c r="I5" s="18"/>
      <c r="J5" s="18"/>
      <c r="K5" s="18"/>
      <c r="L5" s="18"/>
      <c r="M5" s="18"/>
    </row>
    <row r="6" spans="1:13" x14ac:dyDescent="0.25">
      <c r="A6" s="24"/>
      <c r="B6" s="24"/>
      <c r="C6" s="18"/>
      <c r="D6" s="18"/>
      <c r="E6" s="18"/>
      <c r="F6" s="18"/>
      <c r="G6" s="18"/>
      <c r="H6" s="18"/>
      <c r="I6" s="18"/>
      <c r="J6" s="18"/>
      <c r="K6" s="18"/>
      <c r="L6" s="18"/>
      <c r="M6" s="18"/>
    </row>
    <row r="7" spans="1:13" x14ac:dyDescent="0.25">
      <c r="A7" s="24"/>
      <c r="B7" s="24"/>
      <c r="C7" s="18"/>
      <c r="D7" s="18"/>
      <c r="E7" s="18"/>
      <c r="F7" s="18"/>
      <c r="G7" s="18"/>
      <c r="H7" s="18"/>
      <c r="I7" s="18"/>
      <c r="J7" s="18"/>
      <c r="K7" s="18"/>
      <c r="L7" s="18"/>
      <c r="M7" s="18"/>
    </row>
    <row r="8" spans="1:13" x14ac:dyDescent="0.25">
      <c r="A8" s="24"/>
      <c r="B8" s="24"/>
      <c r="C8" s="18"/>
      <c r="D8" s="18"/>
      <c r="E8" s="18"/>
      <c r="F8" s="18"/>
      <c r="G8" s="18"/>
      <c r="H8" s="18"/>
      <c r="I8" s="18"/>
      <c r="J8" s="18"/>
      <c r="K8" s="18"/>
      <c r="L8" s="18"/>
      <c r="M8" s="18"/>
    </row>
    <row r="9" spans="1:13" x14ac:dyDescent="0.25">
      <c r="A9" s="24"/>
      <c r="B9" s="24"/>
      <c r="C9" s="18"/>
      <c r="D9" s="18"/>
      <c r="E9" s="18"/>
      <c r="F9" s="18"/>
      <c r="G9" s="18"/>
      <c r="H9" s="18"/>
      <c r="I9" s="18"/>
      <c r="J9" s="18"/>
      <c r="K9" s="18"/>
      <c r="L9" s="18"/>
      <c r="M9" s="18"/>
    </row>
    <row r="10" spans="1:13" x14ac:dyDescent="0.25">
      <c r="A10" s="24"/>
      <c r="B10" s="24"/>
      <c r="C10" s="18"/>
      <c r="D10" s="18"/>
      <c r="E10" s="18"/>
      <c r="F10" s="18"/>
      <c r="G10" s="18"/>
      <c r="H10" s="18"/>
      <c r="I10" s="18"/>
      <c r="J10" s="18"/>
      <c r="K10" s="18"/>
      <c r="L10" s="18"/>
      <c r="M10" s="18"/>
    </row>
    <row r="11" spans="1:13" x14ac:dyDescent="0.25">
      <c r="A11" s="24"/>
      <c r="B11" s="24"/>
      <c r="C11" s="18"/>
      <c r="D11" s="18"/>
      <c r="E11" s="18"/>
      <c r="F11" s="18"/>
      <c r="G11" s="18"/>
      <c r="H11" s="18"/>
      <c r="I11" s="18"/>
      <c r="J11" s="18"/>
      <c r="K11" s="18"/>
      <c r="L11" s="18"/>
      <c r="M11" s="18"/>
    </row>
    <row r="12" spans="1:13" ht="28.5" customHeight="1" x14ac:dyDescent="0.25">
      <c r="A12" s="24"/>
      <c r="B12" s="24"/>
      <c r="C12" s="59" t="s">
        <v>469</v>
      </c>
      <c r="D12" s="59"/>
      <c r="E12" s="59"/>
      <c r="F12" s="59"/>
      <c r="G12" s="59"/>
      <c r="H12" s="59"/>
      <c r="I12" s="59"/>
      <c r="J12" s="59"/>
      <c r="K12" s="59"/>
      <c r="L12" s="59"/>
      <c r="M12" s="60"/>
    </row>
    <row r="13" spans="1:13" ht="26.25" customHeight="1" thickBot="1" x14ac:dyDescent="0.3">
      <c r="A13" s="24"/>
      <c r="B13" s="24"/>
      <c r="C13" s="24"/>
      <c r="D13" s="24"/>
      <c r="E13" s="24"/>
      <c r="F13" s="24"/>
      <c r="G13" s="24"/>
      <c r="H13" s="24"/>
      <c r="I13" s="24"/>
      <c r="J13" s="24"/>
      <c r="K13" s="24"/>
      <c r="L13" s="24"/>
      <c r="M13" s="51"/>
    </row>
    <row r="14" spans="1:13" ht="26.25" customHeight="1" thickBot="1" x14ac:dyDescent="0.3">
      <c r="A14" s="24"/>
      <c r="B14" s="24"/>
      <c r="C14" s="24"/>
      <c r="D14" s="24"/>
      <c r="E14" s="24"/>
      <c r="F14" s="24"/>
      <c r="G14" s="24"/>
      <c r="H14" s="24"/>
      <c r="I14" s="24"/>
      <c r="J14" s="24"/>
      <c r="K14" s="24"/>
      <c r="L14" s="20" t="s">
        <v>40</v>
      </c>
      <c r="M14" s="35">
        <f ca="1">TODAY()</f>
        <v>46094</v>
      </c>
    </row>
    <row r="15" spans="1:13" ht="27" customHeight="1" thickBot="1" x14ac:dyDescent="0.3">
      <c r="B15" s="61" t="s">
        <v>39</v>
      </c>
      <c r="C15" s="62" t="s">
        <v>205</v>
      </c>
      <c r="D15" s="63"/>
      <c r="E15" s="63"/>
      <c r="F15" s="63"/>
      <c r="G15" s="63"/>
      <c r="H15" s="63"/>
      <c r="I15" s="63"/>
      <c r="J15" s="63"/>
      <c r="K15" s="63"/>
      <c r="L15" s="63"/>
      <c r="M15" s="64"/>
    </row>
    <row r="16" spans="1:13" ht="27" customHeight="1" x14ac:dyDescent="0.25">
      <c r="B16" s="61"/>
      <c r="C16" s="65" t="s">
        <v>19</v>
      </c>
      <c r="D16" s="66"/>
      <c r="E16" s="95"/>
      <c r="F16" s="77"/>
      <c r="G16" s="77"/>
      <c r="H16" s="77"/>
      <c r="I16" s="77"/>
      <c r="J16" s="78"/>
      <c r="K16" s="65" t="s">
        <v>29</v>
      </c>
      <c r="L16" s="67"/>
      <c r="M16" s="66"/>
    </row>
    <row r="17" spans="2:13" ht="27" customHeight="1" x14ac:dyDescent="0.25">
      <c r="B17" s="61"/>
      <c r="C17" s="68" t="s">
        <v>30</v>
      </c>
      <c r="D17" s="69"/>
      <c r="E17" s="96"/>
      <c r="F17" s="97"/>
      <c r="G17" s="97"/>
      <c r="H17" s="97"/>
      <c r="I17" s="97"/>
      <c r="J17" s="98"/>
      <c r="K17" s="68" t="s">
        <v>30</v>
      </c>
      <c r="L17" s="70"/>
      <c r="M17" s="69"/>
    </row>
    <row r="18" spans="2:13" ht="27" customHeight="1" x14ac:dyDescent="0.25">
      <c r="B18" s="61"/>
      <c r="C18" s="68" t="s">
        <v>31</v>
      </c>
      <c r="D18" s="69"/>
      <c r="E18" s="96"/>
      <c r="F18" s="97"/>
      <c r="G18" s="97"/>
      <c r="H18" s="97"/>
      <c r="I18" s="97"/>
      <c r="J18" s="98"/>
      <c r="K18" s="68" t="s">
        <v>32</v>
      </c>
      <c r="L18" s="70"/>
      <c r="M18" s="69"/>
    </row>
    <row r="19" spans="2:13" ht="27" customHeight="1" thickBot="1" x14ac:dyDescent="0.3">
      <c r="B19" s="61"/>
      <c r="C19" s="71" t="s">
        <v>33</v>
      </c>
      <c r="D19" s="72"/>
      <c r="E19" s="99"/>
      <c r="F19" s="100"/>
      <c r="G19" s="100"/>
      <c r="H19" s="100"/>
      <c r="I19" s="100"/>
      <c r="J19" s="101"/>
      <c r="K19" s="71" t="s">
        <v>33</v>
      </c>
      <c r="L19" s="76"/>
      <c r="M19" s="72"/>
    </row>
    <row r="20" spans="2:13" ht="27" customHeight="1" x14ac:dyDescent="0.25">
      <c r="B20" s="61"/>
      <c r="C20" s="67"/>
      <c r="D20" s="67"/>
      <c r="E20" s="67"/>
      <c r="F20" s="67"/>
      <c r="G20" s="67"/>
      <c r="H20" s="67"/>
      <c r="I20" s="67"/>
      <c r="J20" s="67"/>
      <c r="K20" s="67"/>
      <c r="L20" s="67"/>
      <c r="M20" s="67"/>
    </row>
    <row r="21" spans="2:13" ht="27" customHeight="1" thickBot="1" x14ac:dyDescent="0.3">
      <c r="B21" s="61"/>
      <c r="C21" s="76"/>
      <c r="D21" s="76"/>
      <c r="E21" s="76"/>
      <c r="F21" s="76"/>
      <c r="G21" s="76"/>
      <c r="H21" s="76"/>
      <c r="I21" s="76"/>
      <c r="J21" s="76"/>
      <c r="K21" s="76"/>
      <c r="L21" s="76"/>
      <c r="M21" s="76"/>
    </row>
    <row r="22" spans="2:13" ht="27" customHeight="1" thickBot="1" x14ac:dyDescent="0.3">
      <c r="B22" s="61"/>
      <c r="C22" s="62" t="s">
        <v>42</v>
      </c>
      <c r="D22" s="77"/>
      <c r="E22" s="77"/>
      <c r="F22" s="77"/>
      <c r="G22" s="77"/>
      <c r="H22" s="77"/>
      <c r="I22" s="77"/>
      <c r="J22" s="77"/>
      <c r="K22" s="77"/>
      <c r="L22" s="77"/>
      <c r="M22" s="78"/>
    </row>
    <row r="23" spans="2:13" ht="27" customHeight="1" thickBot="1" x14ac:dyDescent="0.3">
      <c r="B23" s="61"/>
      <c r="C23" s="20" t="s">
        <v>34</v>
      </c>
      <c r="D23" s="79"/>
      <c r="E23" s="80"/>
      <c r="F23" s="80"/>
      <c r="G23" s="80"/>
      <c r="H23" s="80"/>
      <c r="I23" s="80"/>
      <c r="J23" s="80"/>
      <c r="K23" s="80"/>
      <c r="L23" s="80"/>
      <c r="M23" s="81"/>
    </row>
    <row r="24" spans="2:13" ht="27" customHeight="1" thickBot="1" x14ac:dyDescent="0.3">
      <c r="B24" s="61"/>
      <c r="C24" s="52" t="s">
        <v>35</v>
      </c>
      <c r="D24" s="82"/>
      <c r="E24" s="83"/>
      <c r="F24" s="83"/>
      <c r="G24" s="83"/>
      <c r="H24" s="83"/>
      <c r="I24" s="83"/>
      <c r="J24" s="83"/>
      <c r="K24" s="83"/>
      <c r="L24" s="83"/>
      <c r="M24" s="84"/>
    </row>
    <row r="25" spans="2:13" ht="27" customHeight="1" thickBot="1" x14ac:dyDescent="0.3">
      <c r="B25" s="61"/>
      <c r="C25" s="20" t="s">
        <v>36</v>
      </c>
      <c r="D25" s="85"/>
      <c r="E25" s="86"/>
      <c r="F25" s="86"/>
      <c r="G25" s="86"/>
      <c r="H25" s="86"/>
      <c r="I25" s="86"/>
      <c r="J25" s="86"/>
      <c r="K25" s="86"/>
      <c r="L25" s="86"/>
      <c r="M25" s="87"/>
    </row>
    <row r="26" spans="2:13" ht="27" customHeight="1" thickBot="1" x14ac:dyDescent="0.3">
      <c r="B26" s="61"/>
      <c r="C26" s="53" t="s">
        <v>37</v>
      </c>
      <c r="D26" s="82"/>
      <c r="E26" s="83"/>
      <c r="F26" s="83"/>
      <c r="G26" s="83"/>
      <c r="H26" s="83"/>
      <c r="I26" s="83"/>
      <c r="J26" s="83"/>
      <c r="K26" s="83"/>
      <c r="L26" s="83"/>
      <c r="M26" s="84"/>
    </row>
    <row r="27" spans="2:13" ht="27" customHeight="1" thickBot="1" x14ac:dyDescent="0.3">
      <c r="B27" s="61"/>
      <c r="C27" s="20" t="s">
        <v>38</v>
      </c>
      <c r="D27" s="102"/>
      <c r="E27" s="103"/>
      <c r="F27" s="103"/>
      <c r="G27" s="103"/>
      <c r="H27" s="103"/>
      <c r="I27" s="103"/>
      <c r="J27" s="103"/>
      <c r="K27" s="103"/>
      <c r="L27" s="103"/>
      <c r="M27" s="104"/>
    </row>
    <row r="28" spans="2:13" ht="27" customHeight="1" thickBot="1" x14ac:dyDescent="0.3">
      <c r="B28" s="44"/>
      <c r="C28" s="115"/>
      <c r="D28" s="115"/>
      <c r="E28" s="115"/>
      <c r="F28" s="115"/>
      <c r="G28" s="115"/>
      <c r="H28" s="115"/>
      <c r="I28" s="115"/>
      <c r="J28" s="115"/>
      <c r="K28" s="115"/>
      <c r="L28" s="115"/>
      <c r="M28" s="115"/>
    </row>
    <row r="29" spans="2:13" ht="27" customHeight="1" thickBot="1" x14ac:dyDescent="0.3">
      <c r="B29" s="2"/>
      <c r="C29" s="62" t="s">
        <v>204</v>
      </c>
      <c r="D29" s="63"/>
      <c r="E29" s="63"/>
      <c r="F29" s="63"/>
      <c r="G29" s="63"/>
      <c r="H29" s="63"/>
      <c r="I29" s="63"/>
      <c r="J29" s="63"/>
      <c r="K29" s="63"/>
      <c r="L29" s="63"/>
      <c r="M29" s="64"/>
    </row>
    <row r="30" spans="2:13" ht="27" customHeight="1" thickBot="1" x14ac:dyDescent="0.3">
      <c r="B30" s="2"/>
      <c r="C30" s="39" t="s">
        <v>197</v>
      </c>
      <c r="D30" s="88" t="str">
        <f ca="1">"MNTJ-"&amp;YEAR(NOW())&amp;MONTH(NOW())&amp;DAY(NOW())&amp;HOUR(NOW())&amp;MINUTE(NOW())</f>
        <v>MNTJ-20263132255</v>
      </c>
      <c r="E30" s="89"/>
      <c r="F30" s="89"/>
      <c r="G30" s="89"/>
      <c r="H30" s="89"/>
      <c r="I30" s="89"/>
      <c r="J30" s="89"/>
      <c r="K30" s="89"/>
      <c r="L30" s="89"/>
      <c r="M30" s="90"/>
    </row>
    <row r="31" spans="2:13" ht="27" customHeight="1" thickBot="1" x14ac:dyDescent="0.3">
      <c r="B31" s="2"/>
      <c r="C31" s="39" t="s">
        <v>41</v>
      </c>
      <c r="D31" s="3" t="s">
        <v>46</v>
      </c>
      <c r="E31" s="4" t="s">
        <v>44</v>
      </c>
      <c r="F31" s="4"/>
      <c r="G31" s="4" t="s">
        <v>43</v>
      </c>
      <c r="H31" s="4"/>
      <c r="I31" s="4" t="s">
        <v>45</v>
      </c>
      <c r="J31" s="4"/>
      <c r="K31" s="5" t="s">
        <v>186</v>
      </c>
      <c r="L31" s="4"/>
      <c r="M31" s="5" t="s">
        <v>55</v>
      </c>
    </row>
    <row r="32" spans="2:13" ht="27" customHeight="1" thickBot="1" x14ac:dyDescent="0.3">
      <c r="B32" s="2"/>
      <c r="C32" s="19" t="s">
        <v>25</v>
      </c>
      <c r="D32" s="54" t="s">
        <v>47</v>
      </c>
      <c r="E32" s="38" t="s">
        <v>48</v>
      </c>
      <c r="F32" s="38"/>
      <c r="G32" s="91" t="s">
        <v>49</v>
      </c>
      <c r="H32" s="91"/>
      <c r="I32" s="91"/>
      <c r="J32" s="91"/>
      <c r="K32" s="91"/>
      <c r="L32" s="6" t="s">
        <v>50</v>
      </c>
      <c r="M32" s="7"/>
    </row>
    <row r="33" spans="2:13" ht="27" customHeight="1" thickBot="1" x14ac:dyDescent="0.3">
      <c r="B33" s="2"/>
      <c r="C33" s="39" t="s">
        <v>188</v>
      </c>
      <c r="D33" s="92" t="s">
        <v>187</v>
      </c>
      <c r="E33" s="93"/>
      <c r="F33" s="93"/>
      <c r="G33" s="93"/>
      <c r="H33" s="93"/>
      <c r="I33" s="93"/>
      <c r="J33" s="93"/>
      <c r="K33" s="93"/>
      <c r="L33" s="93"/>
      <c r="M33" s="94"/>
    </row>
    <row r="34" spans="2:13" ht="27" customHeight="1" x14ac:dyDescent="0.25">
      <c r="B34" s="2"/>
      <c r="C34" s="67"/>
      <c r="D34" s="67"/>
      <c r="E34" s="67"/>
      <c r="F34" s="67"/>
      <c r="G34" s="67"/>
      <c r="H34" s="67"/>
      <c r="I34" s="67"/>
      <c r="J34" s="67"/>
      <c r="K34" s="67"/>
      <c r="L34" s="67"/>
      <c r="M34" s="67"/>
    </row>
    <row r="35" spans="2:13" x14ac:dyDescent="0.25">
      <c r="C35" s="70"/>
      <c r="D35" s="70"/>
      <c r="E35" s="70"/>
      <c r="F35" s="70"/>
      <c r="G35" s="70"/>
      <c r="H35" s="70"/>
      <c r="I35" s="70"/>
      <c r="J35" s="70"/>
      <c r="K35" s="70"/>
      <c r="L35" s="70"/>
      <c r="M35" s="70"/>
    </row>
    <row r="36" spans="2:13" ht="27" customHeight="1" x14ac:dyDescent="0.25">
      <c r="C36" s="74" t="s">
        <v>206</v>
      </c>
      <c r="D36" s="74"/>
      <c r="E36" s="74"/>
      <c r="F36" s="74"/>
      <c r="G36" s="74"/>
      <c r="H36" s="74"/>
      <c r="I36" s="74"/>
      <c r="J36" s="74"/>
      <c r="K36" s="74"/>
      <c r="L36" s="74"/>
      <c r="M36" s="75"/>
    </row>
    <row r="37" spans="2:13" ht="27" customHeight="1" x14ac:dyDescent="0.25">
      <c r="C37" s="21" t="s">
        <v>0</v>
      </c>
      <c r="D37" s="21" t="s">
        <v>1</v>
      </c>
      <c r="E37" s="21" t="s">
        <v>212</v>
      </c>
      <c r="F37" s="21" t="s">
        <v>214</v>
      </c>
      <c r="G37" s="21" t="s">
        <v>2</v>
      </c>
      <c r="H37" s="21" t="s">
        <v>53</v>
      </c>
      <c r="I37" s="21" t="s">
        <v>184</v>
      </c>
      <c r="J37" s="21" t="s">
        <v>185</v>
      </c>
      <c r="K37" s="21" t="s">
        <v>3</v>
      </c>
      <c r="L37" s="21" t="s">
        <v>54</v>
      </c>
      <c r="M37" s="21" t="s">
        <v>4</v>
      </c>
    </row>
    <row r="38" spans="2:13" ht="27" customHeight="1" x14ac:dyDescent="0.3">
      <c r="C38" s="9"/>
      <c r="D38" s="34" t="str">
        <f>IF(C38="","",VLOOKUP(C38,MontajGrubu!$A:$C,2,0))</f>
        <v/>
      </c>
      <c r="E38" s="10" t="s">
        <v>213</v>
      </c>
      <c r="F38" s="9" t="s">
        <v>213</v>
      </c>
      <c r="G38" s="10">
        <v>0</v>
      </c>
      <c r="H38" s="33" t="str">
        <f>IF(C38="","",VLOOKUP(C38,MontajGrubu!$A:$C,3,0))</f>
        <v/>
      </c>
      <c r="I38" s="17">
        <v>0</v>
      </c>
      <c r="J38" s="127">
        <v>0</v>
      </c>
      <c r="K38" s="128" t="s">
        <v>5</v>
      </c>
      <c r="L38" s="29" t="str">
        <f>IF(G38&gt;0,ROUND(H38*(1-I38/100)*(1-J38/100),2),"")</f>
        <v/>
      </c>
      <c r="M38" s="30" t="str">
        <f>IF(G38&gt;0,L38*G38,"")</f>
        <v/>
      </c>
    </row>
    <row r="39" spans="2:13" ht="27" customHeight="1" x14ac:dyDescent="0.3">
      <c r="C39" s="9"/>
      <c r="D39" s="34" t="str">
        <f>IF(C39="","",VLOOKUP(C39,MontajGrubu!$A:$C,2,0))</f>
        <v/>
      </c>
      <c r="E39" s="10" t="s">
        <v>213</v>
      </c>
      <c r="F39" s="9" t="s">
        <v>213</v>
      </c>
      <c r="G39" s="10">
        <v>0</v>
      </c>
      <c r="H39" s="33" t="str">
        <f>IF(C39="","",VLOOKUP(C39,MontajGrubu!$A:$C,3,0))</f>
        <v/>
      </c>
      <c r="I39" s="17">
        <v>0</v>
      </c>
      <c r="J39" s="127">
        <v>0</v>
      </c>
      <c r="K39" s="128" t="s">
        <v>5</v>
      </c>
      <c r="L39" s="29" t="str">
        <f t="shared" ref="L39:L40" si="0">IF(G39&gt;0,ROUND(H39*(1-I39/100)*(1-J39/100),2),"")</f>
        <v/>
      </c>
      <c r="M39" s="30" t="str">
        <f>IF(G39&gt;0,L39*G39,"")</f>
        <v/>
      </c>
    </row>
    <row r="40" spans="2:13" ht="27" customHeight="1" x14ac:dyDescent="0.3">
      <c r="C40" s="43"/>
      <c r="D40" s="34" t="str">
        <f>IF(C40="","",VLOOKUP(C40,MontajGrubu!$A:$C,2,0))</f>
        <v/>
      </c>
      <c r="E40" s="10" t="s">
        <v>213</v>
      </c>
      <c r="F40" s="9" t="s">
        <v>213</v>
      </c>
      <c r="G40" s="10">
        <v>0</v>
      </c>
      <c r="H40" s="33" t="str">
        <f>IF(C40="","",VLOOKUP(C40,MontajGrubu!$A:$C,3,0))</f>
        <v/>
      </c>
      <c r="I40" s="17">
        <v>0</v>
      </c>
      <c r="J40" s="127">
        <v>0</v>
      </c>
      <c r="K40" s="128" t="s">
        <v>5</v>
      </c>
      <c r="L40" s="29" t="str">
        <f t="shared" si="0"/>
        <v/>
      </c>
      <c r="M40" s="30" t="str">
        <f>IF(G40&gt;0,L40*G40,"")</f>
        <v/>
      </c>
    </row>
    <row r="41" spans="2:13" ht="27" customHeight="1" x14ac:dyDescent="0.3">
      <c r="C41" s="43"/>
      <c r="D41" s="34" t="str">
        <f>IF(C41="","",VLOOKUP(C41,MontajGrubu!$A:$C,2,0))</f>
        <v/>
      </c>
      <c r="E41" s="10" t="s">
        <v>213</v>
      </c>
      <c r="F41" s="9" t="s">
        <v>213</v>
      </c>
      <c r="G41" s="10">
        <v>0</v>
      </c>
      <c r="H41" s="33" t="str">
        <f>IF(C41="","",VLOOKUP(C41,MontajGrubu!$A:$C,3,0))</f>
        <v/>
      </c>
      <c r="I41" s="17">
        <v>0</v>
      </c>
      <c r="J41" s="127">
        <v>0</v>
      </c>
      <c r="K41" s="128" t="s">
        <v>5</v>
      </c>
      <c r="L41" s="29"/>
      <c r="M41" s="30"/>
    </row>
    <row r="42" spans="2:13" ht="27" customHeight="1" x14ac:dyDescent="0.3">
      <c r="C42" s="43"/>
      <c r="D42" s="34" t="str">
        <f>IF(C42="","",VLOOKUP(C42,MontajGrubu!$A:$C,2,0))</f>
        <v/>
      </c>
      <c r="E42" s="10" t="s">
        <v>213</v>
      </c>
      <c r="F42" s="9" t="s">
        <v>213</v>
      </c>
      <c r="G42" s="10">
        <v>0</v>
      </c>
      <c r="H42" s="33" t="str">
        <f>IF(C42="","",VLOOKUP(C42,MontajGrubu!$A:$C,3,0))</f>
        <v/>
      </c>
      <c r="I42" s="17">
        <v>0</v>
      </c>
      <c r="J42" s="127">
        <v>0</v>
      </c>
      <c r="K42" s="128" t="s">
        <v>5</v>
      </c>
      <c r="L42" s="29"/>
      <c r="M42" s="30"/>
    </row>
    <row r="43" spans="2:13" ht="27" customHeight="1" x14ac:dyDescent="0.3">
      <c r="C43" s="43"/>
      <c r="D43" s="34" t="str">
        <f>IF(C43="","",VLOOKUP(C43,MontajGrubu!$A:$C,2,0))</f>
        <v/>
      </c>
      <c r="E43" s="10" t="s">
        <v>213</v>
      </c>
      <c r="F43" s="9" t="s">
        <v>213</v>
      </c>
      <c r="G43" s="10">
        <v>0</v>
      </c>
      <c r="H43" s="33" t="str">
        <f>IF(C43="","",VLOOKUP(C43,MontajGrubu!$A:$C,3,0))</f>
        <v/>
      </c>
      <c r="I43" s="17">
        <v>0</v>
      </c>
      <c r="J43" s="127">
        <v>0</v>
      </c>
      <c r="K43" s="128" t="s">
        <v>5</v>
      </c>
      <c r="L43" s="29"/>
      <c r="M43" s="30"/>
    </row>
    <row r="44" spans="2:13" ht="27" customHeight="1" x14ac:dyDescent="0.3">
      <c r="C44" s="43"/>
      <c r="D44" s="34" t="str">
        <f>IF(C44="","",VLOOKUP(C44,MontajGrubu!$A:$C,2,0))</f>
        <v/>
      </c>
      <c r="E44" s="10" t="s">
        <v>213</v>
      </c>
      <c r="F44" s="9" t="s">
        <v>213</v>
      </c>
      <c r="G44" s="10">
        <v>0</v>
      </c>
      <c r="H44" s="33" t="str">
        <f>IF(C44="","",VLOOKUP(C44,MontajGrubu!$A:$C,3,0))</f>
        <v/>
      </c>
      <c r="I44" s="17">
        <v>0</v>
      </c>
      <c r="J44" s="127">
        <v>0</v>
      </c>
      <c r="K44" s="128" t="s">
        <v>5</v>
      </c>
      <c r="L44" s="29"/>
      <c r="M44" s="30"/>
    </row>
    <row r="45" spans="2:13" ht="27" customHeight="1" x14ac:dyDescent="0.3">
      <c r="C45" s="43"/>
      <c r="D45" s="34" t="str">
        <f>IF(C45="","",VLOOKUP(C45,MontajGrubu!$A:$C,2,0))</f>
        <v/>
      </c>
      <c r="E45" s="10" t="s">
        <v>213</v>
      </c>
      <c r="F45" s="9" t="s">
        <v>213</v>
      </c>
      <c r="G45" s="10">
        <v>0</v>
      </c>
      <c r="H45" s="33" t="str">
        <f>IF(C45="","",VLOOKUP(C45,MontajGrubu!$A:$C,3,0))</f>
        <v/>
      </c>
      <c r="I45" s="17">
        <v>0</v>
      </c>
      <c r="J45" s="127">
        <v>0</v>
      </c>
      <c r="K45" s="128" t="s">
        <v>5</v>
      </c>
      <c r="L45" s="29"/>
      <c r="M45" s="30"/>
    </row>
    <row r="46" spans="2:13" ht="27" customHeight="1" x14ac:dyDescent="0.3">
      <c r="C46" s="43"/>
      <c r="D46" s="34" t="str">
        <f>IF(C46="","",VLOOKUP(C46,MontajGrubu!$A:$C,2,0))</f>
        <v/>
      </c>
      <c r="E46" s="10" t="s">
        <v>213</v>
      </c>
      <c r="F46" s="9" t="s">
        <v>213</v>
      </c>
      <c r="G46" s="10">
        <v>0</v>
      </c>
      <c r="H46" s="33" t="str">
        <f>IF(C46="","",VLOOKUP(C46,MontajGrubu!$A:$C,3,0))</f>
        <v/>
      </c>
      <c r="I46" s="17">
        <v>0</v>
      </c>
      <c r="J46" s="127">
        <v>0</v>
      </c>
      <c r="K46" s="128" t="s">
        <v>5</v>
      </c>
      <c r="L46" s="29"/>
      <c r="M46" s="30"/>
    </row>
    <row r="47" spans="2:13" ht="27" customHeight="1" x14ac:dyDescent="0.35">
      <c r="D47" s="8"/>
      <c r="E47" s="8"/>
      <c r="F47" s="8"/>
      <c r="G47" s="21">
        <f>G46+G45+G44+G43+G42+G41+G40+G39+G38</f>
        <v>0</v>
      </c>
      <c r="H47" s="40"/>
      <c r="I47" s="40"/>
      <c r="J47" s="40"/>
      <c r="K47" s="46"/>
      <c r="L47" s="16" t="s">
        <v>6</v>
      </c>
      <c r="M47" s="31">
        <f>SUM(M38:M46)</f>
        <v>0</v>
      </c>
    </row>
    <row r="48" spans="2:13" ht="27" customHeight="1" x14ac:dyDescent="0.35">
      <c r="C48" s="55" t="s">
        <v>207</v>
      </c>
      <c r="D48" s="15"/>
      <c r="E48" s="15"/>
      <c r="F48" s="8"/>
      <c r="G48" s="8"/>
      <c r="H48" s="8"/>
      <c r="I48" s="8"/>
      <c r="J48" s="8"/>
      <c r="K48" s="46"/>
      <c r="L48" s="16" t="s">
        <v>7</v>
      </c>
      <c r="M48" s="32">
        <f>M47*20/100</f>
        <v>0</v>
      </c>
    </row>
    <row r="49" spans="1:13" ht="27" customHeight="1" x14ac:dyDescent="0.35">
      <c r="C49" s="15" t="s">
        <v>208</v>
      </c>
      <c r="D49" s="15"/>
      <c r="E49" s="15" t="s">
        <v>209</v>
      </c>
      <c r="F49" s="11"/>
      <c r="G49" s="11"/>
      <c r="H49" s="11"/>
      <c r="I49" s="11"/>
      <c r="J49" s="11"/>
      <c r="K49" s="23"/>
      <c r="L49" s="16" t="s">
        <v>8</v>
      </c>
      <c r="M49" s="31">
        <f>M48+M47</f>
        <v>0</v>
      </c>
    </row>
    <row r="50" spans="1:13" ht="27" customHeight="1" x14ac:dyDescent="0.35">
      <c r="C50" s="15" t="s">
        <v>210</v>
      </c>
      <c r="D50" s="15"/>
      <c r="E50" s="15" t="s">
        <v>211</v>
      </c>
      <c r="F50" s="11"/>
      <c r="G50" s="11"/>
      <c r="H50" s="11"/>
      <c r="I50" s="11"/>
      <c r="J50" s="11"/>
      <c r="K50" s="23"/>
      <c r="L50" s="28"/>
      <c r="M50" s="45"/>
    </row>
    <row r="51" spans="1:13" ht="27" customHeight="1" x14ac:dyDescent="0.35">
      <c r="C51" s="15"/>
      <c r="D51" s="11"/>
      <c r="E51" s="11"/>
      <c r="F51" s="11"/>
      <c r="G51" s="11"/>
      <c r="H51" s="11"/>
      <c r="I51" s="11"/>
      <c r="J51" s="11"/>
      <c r="K51" s="11"/>
      <c r="L51" s="12"/>
      <c r="M51" s="13"/>
    </row>
    <row r="52" spans="1:13" ht="27" customHeight="1" x14ac:dyDescent="0.35">
      <c r="C52" s="15"/>
      <c r="D52" s="11"/>
      <c r="E52" s="11"/>
      <c r="F52" s="11"/>
      <c r="G52" s="11"/>
      <c r="H52" s="11"/>
      <c r="I52" s="11"/>
      <c r="J52" s="11"/>
      <c r="K52" s="11"/>
      <c r="L52" s="12"/>
      <c r="M52" s="13"/>
    </row>
    <row r="53" spans="1:13" ht="27" customHeight="1" x14ac:dyDescent="0.35">
      <c r="C53" s="11"/>
      <c r="D53" s="11"/>
      <c r="E53" s="11"/>
      <c r="F53" s="11"/>
      <c r="G53" s="11"/>
      <c r="H53" s="11"/>
      <c r="I53" s="11"/>
      <c r="J53" s="11"/>
      <c r="K53" s="11"/>
      <c r="L53" s="12"/>
      <c r="M53" s="13"/>
    </row>
    <row r="54" spans="1:13" ht="27" customHeight="1" x14ac:dyDescent="0.25">
      <c r="A54" s="24"/>
      <c r="B54" s="24"/>
      <c r="C54" s="129"/>
      <c r="D54" s="129"/>
      <c r="E54" s="129"/>
      <c r="F54" s="129"/>
      <c r="G54" s="129"/>
      <c r="H54" s="129"/>
      <c r="I54" s="129"/>
      <c r="J54" s="129"/>
      <c r="K54" s="129"/>
      <c r="L54" s="129"/>
      <c r="M54" s="129"/>
    </row>
    <row r="55" spans="1:13" ht="27" customHeight="1" x14ac:dyDescent="0.25">
      <c r="A55" s="24"/>
      <c r="B55" s="24"/>
      <c r="C55" s="129"/>
      <c r="D55" s="129"/>
      <c r="E55" s="129"/>
      <c r="F55" s="129"/>
      <c r="G55" s="129"/>
      <c r="H55" s="129"/>
      <c r="I55" s="129"/>
      <c r="J55" s="129"/>
      <c r="K55" s="129"/>
      <c r="L55" s="129"/>
      <c r="M55" s="129"/>
    </row>
    <row r="56" spans="1:13" ht="27" customHeight="1" x14ac:dyDescent="0.25">
      <c r="A56" s="24"/>
      <c r="B56" s="24"/>
      <c r="C56" s="129"/>
      <c r="D56" s="129"/>
      <c r="E56" s="129"/>
      <c r="F56" s="129"/>
      <c r="G56" s="129"/>
      <c r="H56" s="129"/>
      <c r="I56" s="129"/>
      <c r="J56" s="129"/>
      <c r="K56" s="129"/>
      <c r="L56" s="129"/>
      <c r="M56" s="129"/>
    </row>
    <row r="57" spans="1:13" ht="27" customHeight="1" x14ac:dyDescent="0.35">
      <c r="A57" s="24"/>
      <c r="B57" s="24"/>
      <c r="C57" s="23"/>
      <c r="D57" s="23"/>
      <c r="E57" s="23"/>
      <c r="F57" s="23"/>
      <c r="G57" s="23"/>
      <c r="H57" s="23"/>
      <c r="I57" s="23"/>
      <c r="J57" s="23"/>
      <c r="K57" s="23"/>
      <c r="L57" s="28"/>
      <c r="M57" s="45"/>
    </row>
    <row r="58" spans="1:13" ht="27" customHeight="1" x14ac:dyDescent="0.35">
      <c r="A58" s="24"/>
      <c r="B58" s="24"/>
      <c r="C58" s="23"/>
      <c r="D58" s="23"/>
      <c r="E58" s="23"/>
      <c r="F58" s="23"/>
      <c r="G58" s="23"/>
      <c r="H58" s="23"/>
      <c r="I58" s="23"/>
      <c r="J58" s="23"/>
      <c r="K58" s="23"/>
      <c r="L58" s="28"/>
      <c r="M58" s="45"/>
    </row>
    <row r="59" spans="1:13" ht="27" customHeight="1" x14ac:dyDescent="0.35">
      <c r="A59" s="24"/>
      <c r="B59" s="24"/>
      <c r="C59" s="23"/>
      <c r="D59" s="23"/>
      <c r="E59" s="23"/>
      <c r="F59" s="23"/>
      <c r="G59" s="23"/>
      <c r="H59" s="23"/>
      <c r="I59" s="23"/>
      <c r="J59" s="23"/>
      <c r="K59" s="23"/>
      <c r="L59" s="28"/>
      <c r="M59" s="45"/>
    </row>
    <row r="60" spans="1:13" ht="27" customHeight="1" x14ac:dyDescent="0.35">
      <c r="A60" s="24"/>
      <c r="B60" s="24"/>
      <c r="C60" s="23"/>
      <c r="D60" s="23"/>
      <c r="E60" s="23"/>
      <c r="F60" s="23"/>
      <c r="G60" s="23"/>
      <c r="H60" s="23"/>
      <c r="I60" s="23"/>
      <c r="J60" s="23"/>
      <c r="K60" s="23"/>
      <c r="L60" s="28"/>
      <c r="M60" s="45"/>
    </row>
    <row r="61" spans="1:13" ht="27" customHeight="1" x14ac:dyDescent="0.35">
      <c r="A61" s="24"/>
      <c r="B61" s="24"/>
      <c r="C61" s="23"/>
      <c r="D61" s="23"/>
      <c r="E61" s="23"/>
      <c r="F61" s="23"/>
      <c r="G61" s="23"/>
      <c r="H61" s="23"/>
      <c r="I61" s="23"/>
      <c r="J61" s="23"/>
      <c r="K61" s="23"/>
      <c r="L61" s="28"/>
      <c r="M61" s="45"/>
    </row>
    <row r="62" spans="1:13" ht="27" customHeight="1" thickBot="1" x14ac:dyDescent="0.4">
      <c r="A62" s="24"/>
      <c r="B62" s="24"/>
      <c r="C62" s="23"/>
      <c r="D62" s="23"/>
      <c r="E62" s="23"/>
      <c r="F62" s="23"/>
      <c r="G62" s="23"/>
      <c r="H62" s="23"/>
      <c r="I62" s="23"/>
      <c r="J62" s="23"/>
      <c r="K62" s="23"/>
      <c r="L62" s="28"/>
      <c r="M62" s="45"/>
    </row>
    <row r="63" spans="1:13" ht="27" customHeight="1" thickBot="1" x14ac:dyDescent="0.3">
      <c r="C63" s="23"/>
      <c r="D63" s="23"/>
      <c r="E63" s="49"/>
      <c r="F63" s="49"/>
      <c r="G63" s="49"/>
      <c r="H63" s="49"/>
      <c r="I63" s="49"/>
      <c r="J63" s="105" t="s">
        <v>189</v>
      </c>
      <c r="K63" s="107"/>
      <c r="L63" s="106"/>
      <c r="M63" s="13"/>
    </row>
    <row r="64" spans="1:13" ht="27" customHeight="1" x14ac:dyDescent="0.35">
      <c r="C64" s="23"/>
      <c r="D64" s="23"/>
      <c r="E64" s="49"/>
      <c r="F64" s="49"/>
      <c r="G64" s="49"/>
      <c r="H64" s="49"/>
      <c r="I64" s="49"/>
      <c r="J64" s="111" t="s">
        <v>467</v>
      </c>
      <c r="K64" s="112"/>
      <c r="L64" s="47">
        <f>M49</f>
        <v>0</v>
      </c>
      <c r="M64" s="13"/>
    </row>
    <row r="65" spans="2:13" ht="27" customHeight="1" thickBot="1" x14ac:dyDescent="0.4">
      <c r="C65" s="23"/>
      <c r="D65" s="23"/>
      <c r="E65" s="49"/>
      <c r="F65" s="49"/>
      <c r="G65" s="49"/>
      <c r="H65" s="49"/>
      <c r="I65" s="49"/>
      <c r="J65" s="113" t="s">
        <v>24</v>
      </c>
      <c r="K65" s="114"/>
      <c r="L65" s="48">
        <f>L64</f>
        <v>0</v>
      </c>
      <c r="M65" s="13"/>
    </row>
    <row r="66" spans="2:13" ht="27" customHeight="1" x14ac:dyDescent="0.35">
      <c r="C66" s="23"/>
      <c r="D66" s="23"/>
      <c r="E66" s="49"/>
      <c r="F66" s="49"/>
      <c r="G66" s="49"/>
      <c r="H66" s="49"/>
      <c r="I66" s="49"/>
      <c r="J66" s="11"/>
      <c r="K66" s="11"/>
      <c r="L66" s="12"/>
      <c r="M66" s="13"/>
    </row>
    <row r="67" spans="2:13" ht="27" customHeight="1" x14ac:dyDescent="0.35">
      <c r="C67" s="23"/>
      <c r="D67" s="23"/>
      <c r="E67" s="49"/>
      <c r="F67" s="49"/>
      <c r="G67" s="49"/>
      <c r="H67" s="49"/>
      <c r="I67" s="49"/>
      <c r="J67" s="11"/>
      <c r="K67" s="11"/>
      <c r="L67" s="12"/>
      <c r="M67" s="13"/>
    </row>
    <row r="68" spans="2:13" ht="27" customHeight="1" x14ac:dyDescent="0.35">
      <c r="C68" s="23"/>
      <c r="D68" s="23"/>
      <c r="E68" s="49"/>
      <c r="F68" s="49"/>
      <c r="G68" s="49"/>
      <c r="H68" s="49"/>
      <c r="I68" s="49"/>
      <c r="J68" s="11"/>
      <c r="K68" s="11"/>
      <c r="L68" s="12"/>
      <c r="M68" s="13"/>
    </row>
    <row r="69" spans="2:13" ht="27" customHeight="1" x14ac:dyDescent="0.35">
      <c r="C69" s="23"/>
      <c r="D69" s="23"/>
      <c r="E69" s="49"/>
      <c r="F69" s="49"/>
      <c r="G69" s="49"/>
      <c r="H69" s="49"/>
      <c r="I69" s="49"/>
      <c r="J69" s="11"/>
      <c r="K69" s="11"/>
      <c r="L69" s="12"/>
      <c r="M69" s="13"/>
    </row>
    <row r="70" spans="2:13" ht="27" customHeight="1" x14ac:dyDescent="0.35">
      <c r="C70" s="11"/>
      <c r="D70" s="11"/>
      <c r="E70" s="49"/>
      <c r="F70" s="49"/>
      <c r="G70" s="49"/>
      <c r="H70" s="49"/>
      <c r="I70" s="49"/>
      <c r="J70" s="11"/>
      <c r="K70" s="11"/>
      <c r="L70" s="12"/>
      <c r="M70" s="13"/>
    </row>
    <row r="71" spans="2:13" ht="27" customHeight="1" x14ac:dyDescent="0.25">
      <c r="C71" s="73" t="s">
        <v>56</v>
      </c>
      <c r="D71" s="73"/>
      <c r="E71" s="73"/>
      <c r="F71" s="73"/>
      <c r="G71" s="73"/>
      <c r="H71" s="73"/>
      <c r="I71" s="73"/>
      <c r="J71" s="73"/>
      <c r="K71" s="73"/>
      <c r="L71" s="73"/>
      <c r="M71" s="73"/>
    </row>
    <row r="72" spans="2:13" ht="27" customHeight="1" x14ac:dyDescent="0.25">
      <c r="C72" s="74" t="s">
        <v>192</v>
      </c>
      <c r="D72" s="74"/>
      <c r="E72" s="74"/>
      <c r="F72" s="74"/>
      <c r="G72" s="74"/>
      <c r="H72" s="74"/>
      <c r="I72" s="74"/>
      <c r="J72" s="74"/>
      <c r="K72" s="74"/>
      <c r="L72" s="74"/>
      <c r="M72" s="75"/>
    </row>
    <row r="73" spans="2:13" ht="27" customHeight="1" x14ac:dyDescent="0.3">
      <c r="B73" s="24"/>
      <c r="C73" s="22" t="s">
        <v>9</v>
      </c>
      <c r="D73" s="50"/>
      <c r="E73" s="50"/>
      <c r="F73" s="22"/>
      <c r="G73" s="23"/>
      <c r="H73" s="23"/>
      <c r="I73" s="117" t="s">
        <v>468</v>
      </c>
      <c r="J73" s="117"/>
      <c r="K73" s="117"/>
      <c r="L73" s="117"/>
      <c r="M73" s="117"/>
    </row>
    <row r="74" spans="2:13" ht="27" customHeight="1" x14ac:dyDescent="0.25">
      <c r="B74" s="24"/>
      <c r="C74" s="22" t="s">
        <v>10</v>
      </c>
      <c r="D74" s="50"/>
      <c r="E74" s="50"/>
      <c r="F74" s="22"/>
      <c r="G74" s="23"/>
      <c r="H74" s="23"/>
      <c r="I74" s="118" t="s">
        <v>202</v>
      </c>
      <c r="J74" s="118"/>
      <c r="K74" s="118"/>
      <c r="L74" s="118"/>
      <c r="M74" s="118"/>
    </row>
    <row r="75" spans="2:13" ht="27" customHeight="1" x14ac:dyDescent="0.25">
      <c r="B75" s="24"/>
      <c r="C75" s="22" t="s">
        <v>11</v>
      </c>
      <c r="D75" s="50"/>
      <c r="E75" s="50"/>
      <c r="F75" s="22"/>
      <c r="G75" s="23"/>
      <c r="H75" s="23"/>
      <c r="I75" s="118" t="s">
        <v>203</v>
      </c>
      <c r="J75" s="118"/>
      <c r="K75" s="118"/>
      <c r="L75" s="118"/>
      <c r="M75" s="118"/>
    </row>
    <row r="76" spans="2:13" ht="27" customHeight="1" x14ac:dyDescent="0.25">
      <c r="B76" s="24"/>
      <c r="C76" s="22" t="s">
        <v>12</v>
      </c>
      <c r="D76" s="50"/>
      <c r="E76" s="50"/>
      <c r="F76" s="22"/>
      <c r="G76" s="23"/>
      <c r="H76" s="23"/>
      <c r="I76" s="118" t="s">
        <v>193</v>
      </c>
      <c r="J76" s="118"/>
      <c r="K76" s="118"/>
      <c r="L76" s="118"/>
      <c r="M76" s="118"/>
    </row>
    <row r="77" spans="2:13" ht="27" customHeight="1" x14ac:dyDescent="0.25">
      <c r="B77" s="24"/>
      <c r="C77" s="22" t="s">
        <v>13</v>
      </c>
      <c r="D77" s="50"/>
      <c r="E77" s="50"/>
      <c r="F77" s="22"/>
      <c r="G77" s="23"/>
      <c r="H77" s="23"/>
      <c r="I77" s="118" t="s">
        <v>194</v>
      </c>
      <c r="J77" s="118"/>
      <c r="K77" s="118"/>
      <c r="L77" s="118"/>
      <c r="M77" s="118"/>
    </row>
    <row r="78" spans="2:13" ht="27" customHeight="1" x14ac:dyDescent="0.25">
      <c r="B78" s="24"/>
      <c r="C78" s="22" t="s">
        <v>14</v>
      </c>
      <c r="D78" s="50"/>
      <c r="E78" s="50"/>
      <c r="F78" s="22"/>
      <c r="G78" s="23"/>
      <c r="H78" s="23"/>
      <c r="I78" s="118" t="s">
        <v>195</v>
      </c>
      <c r="J78" s="118"/>
      <c r="K78" s="118"/>
      <c r="L78" s="118"/>
      <c r="M78" s="118"/>
    </row>
    <row r="79" spans="2:13" ht="27" customHeight="1" x14ac:dyDescent="0.25">
      <c r="B79" s="24"/>
      <c r="C79" s="22" t="s">
        <v>15</v>
      </c>
      <c r="D79" s="50"/>
      <c r="E79" s="50"/>
      <c r="F79" s="22"/>
      <c r="G79" s="23"/>
      <c r="H79" s="23"/>
      <c r="I79" s="118" t="s">
        <v>196</v>
      </c>
      <c r="J79" s="118"/>
      <c r="K79" s="118"/>
      <c r="L79" s="118"/>
      <c r="M79" s="118"/>
    </row>
    <row r="80" spans="2:13" ht="50.25" customHeight="1" x14ac:dyDescent="0.35">
      <c r="B80" s="24"/>
      <c r="C80" s="110" t="s">
        <v>52</v>
      </c>
      <c r="D80" s="110"/>
      <c r="E80" s="110"/>
      <c r="F80" s="110"/>
      <c r="G80" s="23"/>
      <c r="H80" s="23"/>
      <c r="I80" s="23"/>
      <c r="J80" s="23"/>
      <c r="K80" s="23"/>
      <c r="L80" s="28"/>
      <c r="M80" s="25"/>
    </row>
    <row r="81" spans="2:13" ht="27" customHeight="1" x14ac:dyDescent="0.35">
      <c r="B81" s="24"/>
      <c r="C81" s="22" t="s">
        <v>51</v>
      </c>
      <c r="D81" s="50"/>
      <c r="E81" s="50"/>
      <c r="F81" s="22"/>
      <c r="G81" s="23"/>
      <c r="H81" s="23"/>
      <c r="I81" s="22" t="str">
        <f ca="1">"İşbu sözleşme "&amp;TEXT(TODAY(),"gg/aa/yyyy")&amp;" tarihinde iki nüsha olarak imzalanmış ve yürürlüğe girmiştir."</f>
        <v>İşbu sözleşme 13/03/2026 tarihinde iki nüsha olarak imzalanmış ve yürürlüğe girmiştir.</v>
      </c>
      <c r="J81" s="23"/>
      <c r="K81" s="23"/>
      <c r="L81" s="28"/>
      <c r="M81" s="14"/>
    </row>
    <row r="82" spans="2:13" ht="27" customHeight="1" x14ac:dyDescent="0.25">
      <c r="C82" s="74" t="s">
        <v>26</v>
      </c>
      <c r="D82" s="74"/>
      <c r="E82" s="74"/>
      <c r="F82" s="74"/>
      <c r="G82" s="74"/>
      <c r="H82" s="74"/>
      <c r="I82" s="74"/>
      <c r="J82" s="74"/>
      <c r="K82" s="74"/>
      <c r="L82" s="74"/>
      <c r="M82" s="75"/>
    </row>
    <row r="83" spans="2:13" ht="27" customHeight="1" thickBot="1" x14ac:dyDescent="0.3">
      <c r="C83" s="116"/>
      <c r="D83" s="116"/>
      <c r="E83" s="116"/>
      <c r="F83" s="116"/>
      <c r="G83" s="116"/>
      <c r="H83" s="116"/>
      <c r="I83" s="116"/>
      <c r="J83" s="116"/>
      <c r="K83" s="116"/>
      <c r="L83" s="116"/>
      <c r="M83" s="116"/>
    </row>
    <row r="84" spans="2:13" ht="27" customHeight="1" x14ac:dyDescent="0.25">
      <c r="C84" s="108" t="s">
        <v>27</v>
      </c>
      <c r="D84" s="109"/>
      <c r="E84" s="123"/>
      <c r="F84" s="124"/>
      <c r="G84" s="124"/>
      <c r="H84" s="124"/>
      <c r="I84" s="124"/>
      <c r="J84" s="125"/>
      <c r="K84" s="108" t="s">
        <v>191</v>
      </c>
      <c r="L84" s="119"/>
      <c r="M84" s="109"/>
    </row>
    <row r="85" spans="2:13" ht="27" customHeight="1" x14ac:dyDescent="0.25">
      <c r="C85" s="26" t="s">
        <v>16</v>
      </c>
      <c r="D85" s="56" t="s">
        <v>21</v>
      </c>
      <c r="E85" s="123"/>
      <c r="F85" s="124"/>
      <c r="G85" s="124"/>
      <c r="H85" s="124"/>
      <c r="I85" s="124"/>
      <c r="J85" s="125"/>
      <c r="K85" s="120" t="s">
        <v>190</v>
      </c>
      <c r="L85" s="121"/>
      <c r="M85" s="122"/>
    </row>
    <row r="86" spans="2:13" ht="27" customHeight="1" x14ac:dyDescent="0.25">
      <c r="C86" s="26" t="s">
        <v>17</v>
      </c>
      <c r="D86" s="56" t="s">
        <v>23</v>
      </c>
      <c r="E86" s="123"/>
      <c r="F86" s="124"/>
      <c r="G86" s="124"/>
      <c r="H86" s="124"/>
      <c r="I86" s="124"/>
      <c r="J86" s="125"/>
      <c r="K86" s="120" t="s">
        <v>199</v>
      </c>
      <c r="L86" s="121"/>
      <c r="M86" s="122"/>
    </row>
    <row r="87" spans="2:13" ht="27" customHeight="1" x14ac:dyDescent="0.25">
      <c r="C87" s="26" t="s">
        <v>201</v>
      </c>
      <c r="D87" s="56" t="s">
        <v>20</v>
      </c>
      <c r="E87" s="123"/>
      <c r="F87" s="124"/>
      <c r="G87" s="124"/>
      <c r="H87" s="124"/>
      <c r="I87" s="124"/>
      <c r="J87" s="125"/>
      <c r="K87" s="120" t="s">
        <v>200</v>
      </c>
      <c r="L87" s="121"/>
      <c r="M87" s="122"/>
    </row>
    <row r="88" spans="2:13" ht="27" customHeight="1" thickBot="1" x14ac:dyDescent="0.3">
      <c r="C88" s="27" t="s">
        <v>18</v>
      </c>
      <c r="D88" s="57" t="s">
        <v>22</v>
      </c>
      <c r="E88" s="123"/>
      <c r="F88" s="124"/>
      <c r="G88" s="124"/>
      <c r="H88" s="124"/>
      <c r="I88" s="124"/>
      <c r="J88" s="125"/>
      <c r="K88" s="58"/>
      <c r="L88" s="36"/>
      <c r="M88" s="37"/>
    </row>
    <row r="89" spans="2:13" ht="27" customHeight="1" x14ac:dyDescent="0.25">
      <c r="C89" s="23"/>
      <c r="D89" s="23"/>
      <c r="E89" s="23"/>
      <c r="F89" s="23"/>
      <c r="G89" s="24"/>
      <c r="H89" s="24"/>
      <c r="I89" s="24"/>
      <c r="J89" s="24"/>
      <c r="K89" s="24"/>
      <c r="L89" s="24"/>
      <c r="M89" s="24"/>
    </row>
    <row r="90" spans="2:13" ht="27" customHeight="1" thickBot="1" x14ac:dyDescent="0.3">
      <c r="C90" s="74" t="s">
        <v>198</v>
      </c>
      <c r="D90" s="74"/>
      <c r="E90" s="74"/>
      <c r="F90" s="74"/>
      <c r="G90" s="74"/>
      <c r="H90" s="74"/>
      <c r="I90" s="74"/>
      <c r="J90" s="74"/>
      <c r="K90" s="74"/>
      <c r="L90" s="74"/>
      <c r="M90" s="75"/>
    </row>
    <row r="91" spans="2:13" ht="27" customHeight="1" thickBot="1" x14ac:dyDescent="0.3">
      <c r="C91" s="105" t="s">
        <v>28</v>
      </c>
      <c r="D91" s="106"/>
      <c r="E91" s="24"/>
      <c r="F91" s="24"/>
      <c r="G91" s="24"/>
      <c r="H91" s="24"/>
      <c r="I91" s="24"/>
      <c r="J91" s="105">
        <f>D23</f>
        <v>0</v>
      </c>
      <c r="K91" s="107"/>
      <c r="L91" s="107"/>
      <c r="M91" s="106"/>
    </row>
    <row r="92" spans="2:13" ht="27" customHeight="1" x14ac:dyDescent="0.25">
      <c r="C92" s="24"/>
      <c r="D92" s="24"/>
      <c r="E92" s="24"/>
      <c r="F92" s="24"/>
      <c r="G92" s="24"/>
      <c r="H92" s="24"/>
      <c r="I92" s="24"/>
      <c r="J92" s="24"/>
      <c r="K92" s="24"/>
      <c r="L92" s="24"/>
      <c r="M92" s="24"/>
    </row>
    <row r="93" spans="2:13" ht="27" customHeight="1" x14ac:dyDescent="0.25">
      <c r="C93" s="24"/>
      <c r="D93" s="24"/>
      <c r="E93" s="24"/>
      <c r="F93" s="24"/>
      <c r="G93" s="24"/>
      <c r="H93" s="24"/>
      <c r="I93" s="24"/>
      <c r="J93" s="24"/>
      <c r="K93" s="24"/>
      <c r="L93" s="24"/>
      <c r="M93" s="24"/>
    </row>
    <row r="94" spans="2:13" ht="27" customHeight="1" x14ac:dyDescent="0.25">
      <c r="C94" s="24"/>
      <c r="D94" s="24"/>
      <c r="E94" s="24"/>
      <c r="F94" s="24"/>
      <c r="G94" s="24"/>
      <c r="H94" s="24"/>
      <c r="I94" s="24"/>
      <c r="J94" s="24"/>
      <c r="K94" s="24"/>
      <c r="L94" s="24"/>
      <c r="M94" s="24"/>
    </row>
    <row r="95" spans="2:13" ht="27" customHeight="1" x14ac:dyDescent="0.25">
      <c r="C95" s="24"/>
      <c r="D95" s="24"/>
      <c r="E95" s="24"/>
      <c r="F95" s="24"/>
      <c r="G95" s="24"/>
      <c r="H95" s="24"/>
      <c r="I95" s="24"/>
      <c r="J95" s="24"/>
      <c r="K95" s="24"/>
      <c r="L95" s="24"/>
      <c r="M95" s="24"/>
    </row>
    <row r="96" spans="2:13" ht="27" customHeight="1" x14ac:dyDescent="0.25">
      <c r="C96" s="24"/>
      <c r="D96" s="24"/>
      <c r="E96" s="24"/>
      <c r="F96" s="24"/>
      <c r="G96" s="24"/>
      <c r="H96" s="24"/>
      <c r="I96" s="24"/>
      <c r="J96" s="24"/>
      <c r="K96" s="24"/>
      <c r="L96" s="24"/>
      <c r="M96" s="24"/>
    </row>
    <row r="97" spans="3:13" ht="27" customHeight="1" x14ac:dyDescent="0.25">
      <c r="C97" s="24"/>
      <c r="D97" s="24"/>
      <c r="E97" s="24"/>
      <c r="F97" s="24"/>
      <c r="G97" s="24"/>
      <c r="H97" s="24"/>
      <c r="I97" s="24"/>
      <c r="J97" s="24"/>
      <c r="K97" s="24"/>
      <c r="L97" s="24"/>
      <c r="M97" s="24"/>
    </row>
    <row r="98" spans="3:13" ht="27" customHeight="1" x14ac:dyDescent="0.25">
      <c r="C98" s="24"/>
      <c r="D98" s="24"/>
      <c r="E98" s="24"/>
      <c r="F98" s="24"/>
      <c r="G98" s="24"/>
      <c r="H98" s="24"/>
      <c r="I98" s="24"/>
      <c r="J98" s="24"/>
      <c r="K98" s="24"/>
      <c r="L98" s="24"/>
      <c r="M98" s="24"/>
    </row>
    <row r="99" spans="3:13" ht="27" customHeight="1" x14ac:dyDescent="0.25">
      <c r="C99" s="24"/>
      <c r="D99" s="24"/>
      <c r="E99" s="24"/>
      <c r="F99" s="24"/>
      <c r="G99" s="24"/>
      <c r="H99" s="24"/>
      <c r="I99" s="24"/>
      <c r="J99" s="24"/>
      <c r="K99" s="24"/>
      <c r="L99" s="24"/>
      <c r="M99" s="24"/>
    </row>
    <row r="100" spans="3:13" ht="27" customHeight="1" x14ac:dyDescent="0.25">
      <c r="C100" s="24"/>
      <c r="D100" s="24"/>
      <c r="E100" s="24"/>
      <c r="F100" s="24"/>
      <c r="G100" s="24"/>
      <c r="H100" s="24"/>
      <c r="I100" s="24"/>
      <c r="J100" s="24"/>
      <c r="K100" s="24"/>
      <c r="L100" s="24"/>
      <c r="M100" s="24"/>
    </row>
    <row r="101" spans="3:13" ht="27" customHeight="1" x14ac:dyDescent="0.25">
      <c r="C101" s="24"/>
      <c r="D101" s="24"/>
      <c r="E101" s="24"/>
      <c r="F101" s="24"/>
      <c r="G101" s="24"/>
      <c r="H101" s="24"/>
      <c r="I101" s="24"/>
      <c r="J101" s="24"/>
      <c r="K101" s="24"/>
      <c r="L101" s="24"/>
      <c r="M101" s="24"/>
    </row>
    <row r="102" spans="3:13" ht="27" customHeight="1" x14ac:dyDescent="0.25">
      <c r="C102" s="24"/>
      <c r="D102" s="24"/>
      <c r="E102" s="24"/>
      <c r="F102" s="24"/>
      <c r="G102" s="24"/>
      <c r="H102" s="24"/>
      <c r="I102" s="24"/>
      <c r="J102" s="24"/>
      <c r="K102" s="24"/>
      <c r="L102" s="24"/>
      <c r="M102" s="24"/>
    </row>
  </sheetData>
  <sheetProtection algorithmName="SHA-512" hashValue="uIyBw9IGwuFAmJRk/7rcqtPfGgM90O4lUkh+Vt3fYvD+BC/nLMyZDcc8gEUCbAsEy74Jku7oB9XHhiyfIOwNCw==" saltValue="Er8dRsNn11EMxOM2Zj7+zQ==" spinCount="100000" sheet="1" selectLockedCells="1"/>
  <mergeCells count="50">
    <mergeCell ref="K85:M85"/>
    <mergeCell ref="K86:M86"/>
    <mergeCell ref="K87:M87"/>
    <mergeCell ref="E84:J88"/>
    <mergeCell ref="C20:M21"/>
    <mergeCell ref="C28:M28"/>
    <mergeCell ref="C34:M35"/>
    <mergeCell ref="J63:L63"/>
    <mergeCell ref="C91:D91"/>
    <mergeCell ref="J91:M91"/>
    <mergeCell ref="C84:D84"/>
    <mergeCell ref="C72:M72"/>
    <mergeCell ref="C80:F80"/>
    <mergeCell ref="C82:M82"/>
    <mergeCell ref="C83:M83"/>
    <mergeCell ref="I73:M73"/>
    <mergeCell ref="I74:M74"/>
    <mergeCell ref="I75:M75"/>
    <mergeCell ref="I76:M76"/>
    <mergeCell ref="I77:M77"/>
    <mergeCell ref="I78:M78"/>
    <mergeCell ref="I79:M79"/>
    <mergeCell ref="C90:M90"/>
    <mergeCell ref="K84:M84"/>
    <mergeCell ref="C71:M71"/>
    <mergeCell ref="C36:M36"/>
    <mergeCell ref="K19:M19"/>
    <mergeCell ref="C22:M22"/>
    <mergeCell ref="D23:M23"/>
    <mergeCell ref="D24:M24"/>
    <mergeCell ref="D25:M25"/>
    <mergeCell ref="D26:M26"/>
    <mergeCell ref="C29:M29"/>
    <mergeCell ref="D30:M30"/>
    <mergeCell ref="G32:K32"/>
    <mergeCell ref="D33:M33"/>
    <mergeCell ref="E16:J19"/>
    <mergeCell ref="D27:M27"/>
    <mergeCell ref="J64:K64"/>
    <mergeCell ref="J65:K65"/>
    <mergeCell ref="C12:M12"/>
    <mergeCell ref="B15:B27"/>
    <mergeCell ref="C15:M15"/>
    <mergeCell ref="C16:D16"/>
    <mergeCell ref="K16:M16"/>
    <mergeCell ref="C17:D17"/>
    <mergeCell ref="K17:M17"/>
    <mergeCell ref="C18:D18"/>
    <mergeCell ref="K18:M18"/>
    <mergeCell ref="C19:D19"/>
  </mergeCells>
  <dataValidations count="2">
    <dataValidation type="whole" showInputMessage="1" showErrorMessage="1" sqref="I38:I46">
      <formula1>0</formula1>
      <formula2>50</formula2>
    </dataValidation>
    <dataValidation type="whole" showInputMessage="1" showErrorMessage="1" sqref="J38:J46">
      <formula1>0</formula1>
      <formula2>12</formula2>
    </dataValidation>
  </dataValidations>
  <pageMargins left="0.15748031496062992" right="0.15748031496062992" top="3.937007874015748E-2" bottom="3.937007874015748E-2" header="0.31496062992125984" footer="0.31496062992125984"/>
  <pageSetup paperSize="9" scale="46" fitToHeight="0" orientation="landscape" r:id="rId1"/>
  <colBreaks count="1" manualBreakCount="1">
    <brk id="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2</xdr:col>
                    <xdr:colOff>600075</xdr:colOff>
                    <xdr:row>15</xdr:row>
                    <xdr:rowOff>38100</xdr:rowOff>
                  </from>
                  <to>
                    <xdr:col>3</xdr:col>
                    <xdr:colOff>3743325</xdr:colOff>
                    <xdr:row>18</xdr:row>
                    <xdr:rowOff>314325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10</xdr:col>
                    <xdr:colOff>276225</xdr:colOff>
                    <xdr:row>15</xdr:row>
                    <xdr:rowOff>57150</xdr:rowOff>
                  </from>
                  <to>
                    <xdr:col>12</xdr:col>
                    <xdr:colOff>2419350</xdr:colOff>
                    <xdr:row>18</xdr:row>
                    <xdr:rowOff>276225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3</xdr:col>
                    <xdr:colOff>209550</xdr:colOff>
                    <xdr:row>29</xdr:row>
                    <xdr:rowOff>314325</xdr:rowOff>
                  </from>
                  <to>
                    <xdr:col>3</xdr:col>
                    <xdr:colOff>3009900</xdr:colOff>
                    <xdr:row>30</xdr:row>
                    <xdr:rowOff>314325</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3</xdr:col>
                    <xdr:colOff>3838575</xdr:colOff>
                    <xdr:row>29</xdr:row>
                    <xdr:rowOff>323850</xdr:rowOff>
                  </from>
                  <to>
                    <xdr:col>5</xdr:col>
                    <xdr:colOff>609600</xdr:colOff>
                    <xdr:row>30</xdr:row>
                    <xdr:rowOff>323850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5</xdr:col>
                    <xdr:colOff>1352550</xdr:colOff>
                    <xdr:row>29</xdr:row>
                    <xdr:rowOff>333375</xdr:rowOff>
                  </from>
                  <to>
                    <xdr:col>7</xdr:col>
                    <xdr:colOff>114300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7</xdr:col>
                    <xdr:colOff>1104900</xdr:colOff>
                    <xdr:row>30</xdr:row>
                    <xdr:rowOff>19050</xdr:rowOff>
                  </from>
                  <to>
                    <xdr:col>9</xdr:col>
                    <xdr:colOff>133350</xdr:colOff>
                    <xdr:row>30</xdr:row>
                    <xdr:rowOff>314325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4</xdr:col>
                    <xdr:colOff>447675</xdr:colOff>
                    <xdr:row>30</xdr:row>
                    <xdr:rowOff>323850</xdr:rowOff>
                  </from>
                  <to>
                    <xdr:col>4</xdr:col>
                    <xdr:colOff>1495425</xdr:colOff>
                    <xdr:row>31</xdr:row>
                    <xdr:rowOff>323850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5</xdr:col>
                    <xdr:colOff>1323975</xdr:colOff>
                    <xdr:row>30</xdr:row>
                    <xdr:rowOff>323850</xdr:rowOff>
                  </from>
                  <to>
                    <xdr:col>6</xdr:col>
                    <xdr:colOff>828675</xdr:colOff>
                    <xdr:row>31</xdr:row>
                    <xdr:rowOff>323850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10</xdr:col>
                    <xdr:colOff>476250</xdr:colOff>
                    <xdr:row>30</xdr:row>
                    <xdr:rowOff>323850</xdr:rowOff>
                  </from>
                  <to>
                    <xdr:col>11</xdr:col>
                    <xdr:colOff>828675</xdr:colOff>
                    <xdr:row>31</xdr:row>
                    <xdr:rowOff>323850</xdr:rowOff>
                  </to>
                </anchor>
              </controlPr>
            </control>
          </mc:Choice>
        </mc:AlternateContent>
        <mc:AlternateContent xmlns:mc="http://schemas.openxmlformats.org/markup-compatibility/2006">
          <mc:Choice Requires="x14">
            <control shapeId="30738" r:id="rId13" name="Check Box 18">
              <controlPr defaultSize="0" autoFill="0" autoLine="0" autoPict="0">
                <anchor moveWithCells="1">
                  <from>
                    <xdr:col>11</xdr:col>
                    <xdr:colOff>1990725</xdr:colOff>
                    <xdr:row>30</xdr:row>
                    <xdr:rowOff>9525</xdr:rowOff>
                  </from>
                  <to>
                    <xdr:col>12</xdr:col>
                    <xdr:colOff>1619250</xdr:colOff>
                    <xdr:row>30</xdr:row>
                    <xdr:rowOff>304800</xdr:rowOff>
                  </to>
                </anchor>
              </controlPr>
            </control>
          </mc:Choice>
        </mc:AlternateContent>
        <mc:AlternateContent xmlns:mc="http://schemas.openxmlformats.org/markup-compatibility/2006">
          <mc:Choice Requires="x14">
            <control shapeId="30739" r:id="rId14" name="Check Box 19">
              <controlPr defaultSize="0" autoFill="0" autoLine="0" autoPict="0">
                <anchor moveWithCells="1">
                  <from>
                    <xdr:col>9</xdr:col>
                    <xdr:colOff>1181100</xdr:colOff>
                    <xdr:row>29</xdr:row>
                    <xdr:rowOff>333375</xdr:rowOff>
                  </from>
                  <to>
                    <xdr:col>11</xdr:col>
                    <xdr:colOff>904875</xdr:colOff>
                    <xdr:row>30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89"/>
  <sheetViews>
    <sheetView topLeftCell="A158" workbookViewId="0">
      <selection activeCell="A181" sqref="A181"/>
    </sheetView>
  </sheetViews>
  <sheetFormatPr defaultRowHeight="15" x14ac:dyDescent="0.25"/>
  <cols>
    <col min="1" max="1" width="27.5703125" style="24" customWidth="1"/>
    <col min="2" max="2" width="54.85546875" style="24" customWidth="1"/>
    <col min="3" max="3" width="14" style="24" customWidth="1"/>
    <col min="4" max="16384" width="9.140625" style="24"/>
  </cols>
  <sheetData>
    <row r="1" spans="1:3" x14ac:dyDescent="0.25">
      <c r="A1" s="41" t="s">
        <v>57</v>
      </c>
      <c r="B1" s="41" t="s">
        <v>58</v>
      </c>
      <c r="C1" s="24" t="s">
        <v>59</v>
      </c>
    </row>
    <row r="2" spans="1:3" x14ac:dyDescent="0.25">
      <c r="A2" s="24" t="s">
        <v>60</v>
      </c>
      <c r="B2" s="24" t="s">
        <v>61</v>
      </c>
      <c r="C2" s="42">
        <v>3500</v>
      </c>
    </row>
    <row r="3" spans="1:3" x14ac:dyDescent="0.25">
      <c r="A3" s="24" t="s">
        <v>62</v>
      </c>
      <c r="B3" s="24" t="s">
        <v>63</v>
      </c>
      <c r="C3" s="42">
        <v>3700</v>
      </c>
    </row>
    <row r="4" spans="1:3" x14ac:dyDescent="0.25">
      <c r="A4" s="24" t="s">
        <v>64</v>
      </c>
      <c r="B4" s="24" t="s">
        <v>65</v>
      </c>
      <c r="C4" s="42">
        <v>4000</v>
      </c>
    </row>
    <row r="5" spans="1:3" x14ac:dyDescent="0.25">
      <c r="A5" s="24" t="s">
        <v>66</v>
      </c>
      <c r="B5" s="24" t="s">
        <v>67</v>
      </c>
      <c r="C5" s="42">
        <v>3500</v>
      </c>
    </row>
    <row r="6" spans="1:3" x14ac:dyDescent="0.25">
      <c r="A6" s="24" t="s">
        <v>68</v>
      </c>
      <c r="B6" s="24" t="s">
        <v>69</v>
      </c>
      <c r="C6" s="42">
        <v>3700</v>
      </c>
    </row>
    <row r="7" spans="1:3" x14ac:dyDescent="0.25">
      <c r="A7" s="24" t="s">
        <v>70</v>
      </c>
      <c r="B7" s="24" t="s">
        <v>71</v>
      </c>
      <c r="C7" s="42">
        <v>4000</v>
      </c>
    </row>
    <row r="8" spans="1:3" x14ac:dyDescent="0.25">
      <c r="A8" s="24" t="s">
        <v>72</v>
      </c>
      <c r="B8" s="24" t="s">
        <v>73</v>
      </c>
      <c r="C8" s="42">
        <v>3500</v>
      </c>
    </row>
    <row r="9" spans="1:3" x14ac:dyDescent="0.25">
      <c r="A9" s="24" t="s">
        <v>74</v>
      </c>
      <c r="B9" s="24" t="s">
        <v>75</v>
      </c>
      <c r="C9" s="42">
        <v>3700</v>
      </c>
    </row>
    <row r="10" spans="1:3" x14ac:dyDescent="0.25">
      <c r="A10" s="24" t="s">
        <v>76</v>
      </c>
      <c r="B10" s="24" t="s">
        <v>77</v>
      </c>
      <c r="C10" s="42">
        <v>4000</v>
      </c>
    </row>
    <row r="11" spans="1:3" x14ac:dyDescent="0.25">
      <c r="A11" s="24" t="s">
        <v>78</v>
      </c>
      <c r="B11" s="24" t="s">
        <v>79</v>
      </c>
      <c r="C11" s="42">
        <v>1700</v>
      </c>
    </row>
    <row r="12" spans="1:3" x14ac:dyDescent="0.25">
      <c r="A12" s="24" t="s">
        <v>80</v>
      </c>
      <c r="B12" s="24" t="s">
        <v>81</v>
      </c>
      <c r="C12" s="42">
        <v>1800</v>
      </c>
    </row>
    <row r="13" spans="1:3" x14ac:dyDescent="0.25">
      <c r="A13" s="24" t="s">
        <v>82</v>
      </c>
      <c r="B13" s="24" t="s">
        <v>83</v>
      </c>
      <c r="C13" s="42">
        <v>1900</v>
      </c>
    </row>
    <row r="14" spans="1:3" x14ac:dyDescent="0.25">
      <c r="A14" s="24" t="s">
        <v>84</v>
      </c>
      <c r="B14" s="24" t="s">
        <v>85</v>
      </c>
      <c r="C14" s="42">
        <v>5000</v>
      </c>
    </row>
    <row r="15" spans="1:3" x14ac:dyDescent="0.25">
      <c r="A15" s="24" t="s">
        <v>86</v>
      </c>
      <c r="B15" s="24" t="s">
        <v>87</v>
      </c>
      <c r="C15" s="42">
        <v>6000</v>
      </c>
    </row>
    <row r="16" spans="1:3" x14ac:dyDescent="0.25">
      <c r="A16" s="24" t="s">
        <v>88</v>
      </c>
      <c r="B16" s="24" t="s">
        <v>89</v>
      </c>
      <c r="C16" s="42">
        <v>7000</v>
      </c>
    </row>
    <row r="17" spans="1:3" x14ac:dyDescent="0.25">
      <c r="A17" s="24" t="s">
        <v>90</v>
      </c>
      <c r="B17" s="24" t="s">
        <v>91</v>
      </c>
      <c r="C17" s="42">
        <v>5000</v>
      </c>
    </row>
    <row r="18" spans="1:3" x14ac:dyDescent="0.25">
      <c r="A18" s="24" t="s">
        <v>92</v>
      </c>
      <c r="B18" s="24" t="s">
        <v>93</v>
      </c>
      <c r="C18" s="42">
        <v>6000</v>
      </c>
    </row>
    <row r="19" spans="1:3" x14ac:dyDescent="0.25">
      <c r="A19" s="24" t="s">
        <v>94</v>
      </c>
      <c r="B19" s="24" t="s">
        <v>95</v>
      </c>
      <c r="C19" s="42">
        <v>7000</v>
      </c>
    </row>
    <row r="20" spans="1:3" x14ac:dyDescent="0.25">
      <c r="A20" s="24" t="s">
        <v>96</v>
      </c>
      <c r="B20" s="24" t="s">
        <v>97</v>
      </c>
      <c r="C20" s="42">
        <v>3500</v>
      </c>
    </row>
    <row r="21" spans="1:3" x14ac:dyDescent="0.25">
      <c r="A21" s="24" t="s">
        <v>98</v>
      </c>
      <c r="B21" s="24" t="s">
        <v>99</v>
      </c>
      <c r="C21" s="42">
        <v>3700</v>
      </c>
    </row>
    <row r="22" spans="1:3" x14ac:dyDescent="0.25">
      <c r="A22" s="24" t="s">
        <v>100</v>
      </c>
      <c r="B22" s="24" t="s">
        <v>101</v>
      </c>
      <c r="C22" s="42">
        <v>4000</v>
      </c>
    </row>
    <row r="23" spans="1:3" x14ac:dyDescent="0.25">
      <c r="A23" s="24" t="s">
        <v>102</v>
      </c>
      <c r="B23" s="24" t="s">
        <v>103</v>
      </c>
      <c r="C23" s="42">
        <v>3500</v>
      </c>
    </row>
    <row r="24" spans="1:3" x14ac:dyDescent="0.25">
      <c r="A24" s="24" t="s">
        <v>104</v>
      </c>
      <c r="B24" s="24" t="s">
        <v>105</v>
      </c>
      <c r="C24" s="42">
        <v>3700</v>
      </c>
    </row>
    <row r="25" spans="1:3" x14ac:dyDescent="0.25">
      <c r="A25" s="24" t="s">
        <v>106</v>
      </c>
      <c r="B25" s="24" t="s">
        <v>107</v>
      </c>
      <c r="C25" s="42">
        <v>4000</v>
      </c>
    </row>
    <row r="26" spans="1:3" x14ac:dyDescent="0.25">
      <c r="A26" s="24" t="s">
        <v>108</v>
      </c>
      <c r="B26" s="24" t="s">
        <v>109</v>
      </c>
      <c r="C26" s="42">
        <v>3500</v>
      </c>
    </row>
    <row r="27" spans="1:3" x14ac:dyDescent="0.25">
      <c r="A27" s="24" t="s">
        <v>110</v>
      </c>
      <c r="B27" s="24" t="s">
        <v>111</v>
      </c>
      <c r="C27" s="42">
        <v>3700</v>
      </c>
    </row>
    <row r="28" spans="1:3" x14ac:dyDescent="0.25">
      <c r="A28" s="24" t="s">
        <v>112</v>
      </c>
      <c r="B28" s="24" t="s">
        <v>113</v>
      </c>
      <c r="C28" s="42">
        <v>4000</v>
      </c>
    </row>
    <row r="29" spans="1:3" x14ac:dyDescent="0.25">
      <c r="A29" s="24" t="s">
        <v>114</v>
      </c>
      <c r="B29" s="24" t="s">
        <v>115</v>
      </c>
      <c r="C29" s="42">
        <v>4000</v>
      </c>
    </row>
    <row r="30" spans="1:3" x14ac:dyDescent="0.25">
      <c r="A30" s="24" t="s">
        <v>116</v>
      </c>
      <c r="B30" s="24" t="s">
        <v>117</v>
      </c>
      <c r="C30" s="42">
        <v>4500</v>
      </c>
    </row>
    <row r="31" spans="1:3" x14ac:dyDescent="0.25">
      <c r="A31" s="24" t="s">
        <v>118</v>
      </c>
      <c r="B31" s="24" t="s">
        <v>119</v>
      </c>
      <c r="C31" s="42">
        <v>4700</v>
      </c>
    </row>
    <row r="32" spans="1:3" x14ac:dyDescent="0.25">
      <c r="A32" s="24" t="s">
        <v>120</v>
      </c>
      <c r="B32" s="24" t="s">
        <v>121</v>
      </c>
      <c r="C32" s="42">
        <v>5000</v>
      </c>
    </row>
    <row r="33" spans="1:3" x14ac:dyDescent="0.25">
      <c r="A33" s="24" t="s">
        <v>122</v>
      </c>
      <c r="B33" s="24" t="s">
        <v>123</v>
      </c>
      <c r="C33" s="42">
        <v>3500</v>
      </c>
    </row>
    <row r="34" spans="1:3" x14ac:dyDescent="0.25">
      <c r="A34" s="24" t="s">
        <v>124</v>
      </c>
      <c r="B34" s="24" t="s">
        <v>125</v>
      </c>
      <c r="C34" s="42">
        <v>3500</v>
      </c>
    </row>
    <row r="35" spans="1:3" x14ac:dyDescent="0.25">
      <c r="A35" s="24" t="s">
        <v>126</v>
      </c>
      <c r="B35" s="24" t="s">
        <v>127</v>
      </c>
      <c r="C35" s="42">
        <v>3500</v>
      </c>
    </row>
    <row r="36" spans="1:3" x14ac:dyDescent="0.25">
      <c r="A36" s="24" t="s">
        <v>128</v>
      </c>
      <c r="B36" s="24" t="s">
        <v>129</v>
      </c>
      <c r="C36" s="42">
        <v>3500</v>
      </c>
    </row>
    <row r="37" spans="1:3" x14ac:dyDescent="0.25">
      <c r="A37" s="24" t="s">
        <v>130</v>
      </c>
      <c r="B37" s="24" t="s">
        <v>131</v>
      </c>
      <c r="C37" s="42">
        <v>6500</v>
      </c>
    </row>
    <row r="38" spans="1:3" x14ac:dyDescent="0.25">
      <c r="A38" s="24" t="s">
        <v>132</v>
      </c>
      <c r="B38" s="24" t="s">
        <v>133</v>
      </c>
      <c r="C38" s="42">
        <v>6500</v>
      </c>
    </row>
    <row r="39" spans="1:3" x14ac:dyDescent="0.25">
      <c r="A39" s="24" t="s">
        <v>134</v>
      </c>
      <c r="B39" s="24" t="s">
        <v>135</v>
      </c>
      <c r="C39" s="42">
        <v>5000</v>
      </c>
    </row>
    <row r="40" spans="1:3" x14ac:dyDescent="0.25">
      <c r="A40" s="24" t="s">
        <v>136</v>
      </c>
      <c r="B40" s="24" t="s">
        <v>137</v>
      </c>
      <c r="C40" s="42">
        <v>1500</v>
      </c>
    </row>
    <row r="41" spans="1:3" x14ac:dyDescent="0.25">
      <c r="A41" s="24" t="s">
        <v>138</v>
      </c>
      <c r="B41" s="24" t="s">
        <v>139</v>
      </c>
      <c r="C41" s="42">
        <v>2000</v>
      </c>
    </row>
    <row r="42" spans="1:3" x14ac:dyDescent="0.25">
      <c r="A42" s="24" t="s">
        <v>140</v>
      </c>
      <c r="B42" s="24" t="s">
        <v>141</v>
      </c>
      <c r="C42" s="42">
        <v>2500</v>
      </c>
    </row>
    <row r="43" spans="1:3" x14ac:dyDescent="0.25">
      <c r="A43" s="24" t="s">
        <v>142</v>
      </c>
      <c r="B43" s="24" t="s">
        <v>143</v>
      </c>
      <c r="C43" s="42">
        <v>3000</v>
      </c>
    </row>
    <row r="44" spans="1:3" x14ac:dyDescent="0.25">
      <c r="A44" s="24" t="s">
        <v>144</v>
      </c>
      <c r="B44" s="24" t="s">
        <v>145</v>
      </c>
      <c r="C44" s="42">
        <v>3500</v>
      </c>
    </row>
    <row r="45" spans="1:3" x14ac:dyDescent="0.25">
      <c r="A45" s="24" t="s">
        <v>146</v>
      </c>
      <c r="B45" s="24" t="s">
        <v>147</v>
      </c>
      <c r="C45" s="42">
        <v>1500</v>
      </c>
    </row>
    <row r="46" spans="1:3" x14ac:dyDescent="0.25">
      <c r="A46" s="24" t="s">
        <v>148</v>
      </c>
      <c r="B46" s="24" t="s">
        <v>149</v>
      </c>
      <c r="C46" s="42">
        <v>2000</v>
      </c>
    </row>
    <row r="47" spans="1:3" x14ac:dyDescent="0.25">
      <c r="A47" s="24" t="s">
        <v>150</v>
      </c>
      <c r="B47" s="24" t="s">
        <v>151</v>
      </c>
      <c r="C47" s="42">
        <v>2500</v>
      </c>
    </row>
    <row r="48" spans="1:3" x14ac:dyDescent="0.25">
      <c r="A48" s="24" t="s">
        <v>152</v>
      </c>
      <c r="B48" s="24" t="s">
        <v>153</v>
      </c>
      <c r="C48" s="42">
        <v>3000</v>
      </c>
    </row>
    <row r="49" spans="1:3" x14ac:dyDescent="0.25">
      <c r="A49" s="24" t="s">
        <v>154</v>
      </c>
      <c r="B49" s="24" t="s">
        <v>155</v>
      </c>
      <c r="C49" s="42">
        <v>4000</v>
      </c>
    </row>
    <row r="50" spans="1:3" x14ac:dyDescent="0.25">
      <c r="A50" s="24" t="s">
        <v>156</v>
      </c>
      <c r="B50" s="24" t="s">
        <v>157</v>
      </c>
      <c r="C50" s="42">
        <v>2500</v>
      </c>
    </row>
    <row r="51" spans="1:3" x14ac:dyDescent="0.25">
      <c r="A51" s="24" t="s">
        <v>158</v>
      </c>
      <c r="B51" s="24" t="s">
        <v>159</v>
      </c>
      <c r="C51" s="42">
        <v>2500</v>
      </c>
    </row>
    <row r="52" spans="1:3" x14ac:dyDescent="0.25">
      <c r="A52" s="24" t="s">
        <v>160</v>
      </c>
      <c r="B52" s="24" t="s">
        <v>161</v>
      </c>
      <c r="C52" s="42">
        <v>2500</v>
      </c>
    </row>
    <row r="53" spans="1:3" x14ac:dyDescent="0.25">
      <c r="A53" s="24" t="s">
        <v>162</v>
      </c>
      <c r="B53" s="24" t="s">
        <v>163</v>
      </c>
      <c r="C53" s="42">
        <v>2500</v>
      </c>
    </row>
    <row r="54" spans="1:3" x14ac:dyDescent="0.25">
      <c r="A54" s="24" t="s">
        <v>164</v>
      </c>
      <c r="B54" s="24" t="s">
        <v>165</v>
      </c>
      <c r="C54" s="42">
        <v>2500</v>
      </c>
    </row>
    <row r="55" spans="1:3" x14ac:dyDescent="0.25">
      <c r="A55" s="24" t="s">
        <v>166</v>
      </c>
      <c r="B55" s="24" t="s">
        <v>167</v>
      </c>
      <c r="C55" s="42">
        <v>2500</v>
      </c>
    </row>
    <row r="56" spans="1:3" x14ac:dyDescent="0.25">
      <c r="A56" s="24" t="s">
        <v>168</v>
      </c>
      <c r="B56" s="24" t="s">
        <v>169</v>
      </c>
      <c r="C56" s="42">
        <v>2500</v>
      </c>
    </row>
    <row r="57" spans="1:3" x14ac:dyDescent="0.25">
      <c r="A57" s="24" t="s">
        <v>170</v>
      </c>
      <c r="B57" s="24" t="s">
        <v>171</v>
      </c>
      <c r="C57" s="42">
        <v>2500</v>
      </c>
    </row>
    <row r="58" spans="1:3" x14ac:dyDescent="0.25">
      <c r="A58" s="24" t="s">
        <v>172</v>
      </c>
      <c r="B58" s="24" t="s">
        <v>173</v>
      </c>
      <c r="C58" s="42">
        <v>2500</v>
      </c>
    </row>
    <row r="59" spans="1:3" x14ac:dyDescent="0.25">
      <c r="A59" s="24" t="s">
        <v>174</v>
      </c>
      <c r="B59" s="24" t="s">
        <v>175</v>
      </c>
      <c r="C59" s="42">
        <v>2500</v>
      </c>
    </row>
    <row r="60" spans="1:3" x14ac:dyDescent="0.25">
      <c r="A60" s="24" t="s">
        <v>176</v>
      </c>
      <c r="B60" s="24" t="s">
        <v>177</v>
      </c>
      <c r="C60" s="42">
        <v>0</v>
      </c>
    </row>
    <row r="61" spans="1:3" x14ac:dyDescent="0.25">
      <c r="A61" s="24" t="s">
        <v>178</v>
      </c>
      <c r="B61" s="24" t="s">
        <v>179</v>
      </c>
      <c r="C61" s="42">
        <v>0</v>
      </c>
    </row>
    <row r="62" spans="1:3" x14ac:dyDescent="0.25">
      <c r="A62" s="24" t="s">
        <v>180</v>
      </c>
      <c r="B62" s="24" t="s">
        <v>181</v>
      </c>
      <c r="C62" s="42">
        <v>0</v>
      </c>
    </row>
    <row r="63" spans="1:3" x14ac:dyDescent="0.25">
      <c r="A63" s="24" t="s">
        <v>182</v>
      </c>
      <c r="B63" s="24" t="s">
        <v>183</v>
      </c>
      <c r="C63" s="42">
        <v>0</v>
      </c>
    </row>
    <row r="64" spans="1:3" x14ac:dyDescent="0.25">
      <c r="A64" t="s">
        <v>215</v>
      </c>
      <c r="B64" t="s">
        <v>216</v>
      </c>
      <c r="C64" s="126">
        <v>2250</v>
      </c>
    </row>
    <row r="65" spans="1:3" x14ac:dyDescent="0.25">
      <c r="A65" t="s">
        <v>217</v>
      </c>
      <c r="B65" t="s">
        <v>218</v>
      </c>
      <c r="C65" s="126">
        <v>2250</v>
      </c>
    </row>
    <row r="66" spans="1:3" x14ac:dyDescent="0.25">
      <c r="A66" t="s">
        <v>219</v>
      </c>
      <c r="B66" t="s">
        <v>220</v>
      </c>
      <c r="C66" s="126">
        <v>2500</v>
      </c>
    </row>
    <row r="67" spans="1:3" x14ac:dyDescent="0.25">
      <c r="A67" t="s">
        <v>221</v>
      </c>
      <c r="B67" t="s">
        <v>222</v>
      </c>
      <c r="C67" s="126">
        <v>2800</v>
      </c>
    </row>
    <row r="68" spans="1:3" x14ac:dyDescent="0.25">
      <c r="A68" t="s">
        <v>223</v>
      </c>
      <c r="B68" t="s">
        <v>224</v>
      </c>
      <c r="C68" s="126">
        <v>2250</v>
      </c>
    </row>
    <row r="69" spans="1:3" x14ac:dyDescent="0.25">
      <c r="A69" t="s">
        <v>225</v>
      </c>
      <c r="B69" t="s">
        <v>226</v>
      </c>
      <c r="C69" s="126">
        <v>2250</v>
      </c>
    </row>
    <row r="70" spans="1:3" x14ac:dyDescent="0.25">
      <c r="A70" t="s">
        <v>227</v>
      </c>
      <c r="B70" t="s">
        <v>228</v>
      </c>
      <c r="C70" s="126">
        <v>2500</v>
      </c>
    </row>
    <row r="71" spans="1:3" x14ac:dyDescent="0.25">
      <c r="A71" t="s">
        <v>229</v>
      </c>
      <c r="B71" t="s">
        <v>230</v>
      </c>
      <c r="C71" s="126">
        <v>2800</v>
      </c>
    </row>
    <row r="72" spans="1:3" x14ac:dyDescent="0.25">
      <c r="A72" t="s">
        <v>231</v>
      </c>
      <c r="B72" t="s">
        <v>232</v>
      </c>
      <c r="C72" s="126">
        <v>3500</v>
      </c>
    </row>
    <row r="73" spans="1:3" x14ac:dyDescent="0.25">
      <c r="A73" t="s">
        <v>233</v>
      </c>
      <c r="B73" t="s">
        <v>234</v>
      </c>
      <c r="C73" s="126">
        <v>3600</v>
      </c>
    </row>
    <row r="74" spans="1:3" x14ac:dyDescent="0.25">
      <c r="A74" t="s">
        <v>235</v>
      </c>
      <c r="B74" t="s">
        <v>236</v>
      </c>
      <c r="C74" s="126">
        <v>3700</v>
      </c>
    </row>
    <row r="75" spans="1:3" x14ac:dyDescent="0.25">
      <c r="A75" t="s">
        <v>237</v>
      </c>
      <c r="B75" t="s">
        <v>238</v>
      </c>
      <c r="C75" s="126">
        <v>3800</v>
      </c>
    </row>
    <row r="76" spans="1:3" x14ac:dyDescent="0.25">
      <c r="A76" t="s">
        <v>239</v>
      </c>
      <c r="B76" t="s">
        <v>240</v>
      </c>
      <c r="C76" s="126">
        <v>0</v>
      </c>
    </row>
    <row r="77" spans="1:3" x14ac:dyDescent="0.25">
      <c r="A77" t="s">
        <v>241</v>
      </c>
      <c r="B77" t="s">
        <v>242</v>
      </c>
      <c r="C77" s="126">
        <v>0</v>
      </c>
    </row>
    <row r="78" spans="1:3" x14ac:dyDescent="0.25">
      <c r="A78" t="s">
        <v>243</v>
      </c>
      <c r="B78" t="s">
        <v>244</v>
      </c>
      <c r="C78" s="126">
        <v>0</v>
      </c>
    </row>
    <row r="79" spans="1:3" x14ac:dyDescent="0.25">
      <c r="A79" t="s">
        <v>245</v>
      </c>
      <c r="B79" t="s">
        <v>246</v>
      </c>
      <c r="C79" s="126">
        <v>0</v>
      </c>
    </row>
    <row r="80" spans="1:3" x14ac:dyDescent="0.25">
      <c r="A80" t="s">
        <v>247</v>
      </c>
      <c r="B80" t="s">
        <v>248</v>
      </c>
      <c r="C80" s="126">
        <v>1500</v>
      </c>
    </row>
    <row r="81" spans="1:3" x14ac:dyDescent="0.25">
      <c r="A81" t="s">
        <v>249</v>
      </c>
      <c r="B81" t="s">
        <v>250</v>
      </c>
      <c r="C81" s="126">
        <v>1500</v>
      </c>
    </row>
    <row r="82" spans="1:3" x14ac:dyDescent="0.25">
      <c r="A82" t="s">
        <v>251</v>
      </c>
      <c r="B82" t="s">
        <v>252</v>
      </c>
      <c r="C82" s="126">
        <v>1500</v>
      </c>
    </row>
    <row r="83" spans="1:3" x14ac:dyDescent="0.25">
      <c r="A83" t="s">
        <v>253</v>
      </c>
      <c r="B83" t="s">
        <v>254</v>
      </c>
      <c r="C83" s="126">
        <v>1500</v>
      </c>
    </row>
    <row r="84" spans="1:3" x14ac:dyDescent="0.25">
      <c r="A84" t="s">
        <v>255</v>
      </c>
      <c r="B84" t="s">
        <v>256</v>
      </c>
      <c r="C84" s="126">
        <v>1500</v>
      </c>
    </row>
    <row r="85" spans="1:3" x14ac:dyDescent="0.25">
      <c r="A85" t="s">
        <v>257</v>
      </c>
      <c r="B85" t="s">
        <v>258</v>
      </c>
      <c r="C85" s="126">
        <v>1500</v>
      </c>
    </row>
    <row r="86" spans="1:3" x14ac:dyDescent="0.25">
      <c r="A86" t="s">
        <v>259</v>
      </c>
      <c r="B86" t="s">
        <v>260</v>
      </c>
      <c r="C86" s="126">
        <v>1500</v>
      </c>
    </row>
    <row r="87" spans="1:3" x14ac:dyDescent="0.25">
      <c r="A87" t="s">
        <v>261</v>
      </c>
      <c r="B87" t="s">
        <v>262</v>
      </c>
      <c r="C87" s="126">
        <v>1500</v>
      </c>
    </row>
    <row r="88" spans="1:3" x14ac:dyDescent="0.25">
      <c r="A88" t="s">
        <v>263</v>
      </c>
      <c r="B88" t="s">
        <v>264</v>
      </c>
      <c r="C88" s="126">
        <v>1500</v>
      </c>
    </row>
    <row r="89" spans="1:3" x14ac:dyDescent="0.25">
      <c r="A89" t="s">
        <v>265</v>
      </c>
      <c r="B89" t="s">
        <v>266</v>
      </c>
      <c r="C89" s="126">
        <v>1500</v>
      </c>
    </row>
    <row r="90" spans="1:3" x14ac:dyDescent="0.25">
      <c r="A90" t="s">
        <v>267</v>
      </c>
      <c r="B90" t="s">
        <v>268</v>
      </c>
      <c r="C90" s="126">
        <v>0</v>
      </c>
    </row>
    <row r="91" spans="1:3" x14ac:dyDescent="0.25">
      <c r="A91" t="s">
        <v>269</v>
      </c>
      <c r="B91" t="s">
        <v>270</v>
      </c>
      <c r="C91" s="126">
        <v>0</v>
      </c>
    </row>
    <row r="92" spans="1:3" x14ac:dyDescent="0.25">
      <c r="A92" t="s">
        <v>271</v>
      </c>
      <c r="B92" t="s">
        <v>272</v>
      </c>
      <c r="C92" s="126">
        <v>0</v>
      </c>
    </row>
    <row r="93" spans="1:3" x14ac:dyDescent="0.25">
      <c r="A93" t="s">
        <v>273</v>
      </c>
      <c r="B93" t="s">
        <v>274</v>
      </c>
      <c r="C93" s="126">
        <v>0</v>
      </c>
    </row>
    <row r="94" spans="1:3" x14ac:dyDescent="0.25">
      <c r="A94" t="s">
        <v>275</v>
      </c>
      <c r="B94" t="s">
        <v>276</v>
      </c>
      <c r="C94" s="126">
        <v>0</v>
      </c>
    </row>
    <row r="95" spans="1:3" x14ac:dyDescent="0.25">
      <c r="A95" t="s">
        <v>277</v>
      </c>
      <c r="B95" t="s">
        <v>278</v>
      </c>
      <c r="C95" s="126">
        <v>0</v>
      </c>
    </row>
    <row r="96" spans="1:3" x14ac:dyDescent="0.25">
      <c r="A96" t="s">
        <v>279</v>
      </c>
      <c r="B96" t="s">
        <v>280</v>
      </c>
      <c r="C96" s="126">
        <v>0</v>
      </c>
    </row>
    <row r="97" spans="1:3" x14ac:dyDescent="0.25">
      <c r="A97" t="s">
        <v>281</v>
      </c>
      <c r="B97" t="s">
        <v>282</v>
      </c>
      <c r="C97" s="126">
        <v>0</v>
      </c>
    </row>
    <row r="98" spans="1:3" x14ac:dyDescent="0.25">
      <c r="A98" t="s">
        <v>283</v>
      </c>
      <c r="B98" t="s">
        <v>284</v>
      </c>
      <c r="C98" s="126">
        <v>0</v>
      </c>
    </row>
    <row r="99" spans="1:3" x14ac:dyDescent="0.25">
      <c r="A99" t="s">
        <v>285</v>
      </c>
      <c r="B99" t="s">
        <v>286</v>
      </c>
      <c r="C99" s="126">
        <v>0</v>
      </c>
    </row>
    <row r="100" spans="1:3" x14ac:dyDescent="0.25">
      <c r="A100" t="s">
        <v>287</v>
      </c>
      <c r="B100" t="s">
        <v>288</v>
      </c>
      <c r="C100" s="126">
        <v>0</v>
      </c>
    </row>
    <row r="101" spans="1:3" x14ac:dyDescent="0.25">
      <c r="A101" t="s">
        <v>289</v>
      </c>
      <c r="B101" t="s">
        <v>290</v>
      </c>
      <c r="C101" s="126">
        <v>0</v>
      </c>
    </row>
    <row r="102" spans="1:3" x14ac:dyDescent="0.25">
      <c r="A102" t="s">
        <v>291</v>
      </c>
      <c r="B102" t="s">
        <v>292</v>
      </c>
      <c r="C102" s="126">
        <v>0</v>
      </c>
    </row>
    <row r="103" spans="1:3" x14ac:dyDescent="0.25">
      <c r="A103" t="s">
        <v>293</v>
      </c>
      <c r="B103" t="s">
        <v>294</v>
      </c>
      <c r="C103" s="126">
        <v>0</v>
      </c>
    </row>
    <row r="104" spans="1:3" x14ac:dyDescent="0.25">
      <c r="A104" t="s">
        <v>295</v>
      </c>
      <c r="B104" t="s">
        <v>296</v>
      </c>
      <c r="C104" s="126">
        <v>0</v>
      </c>
    </row>
    <row r="105" spans="1:3" x14ac:dyDescent="0.25">
      <c r="A105" t="s">
        <v>297</v>
      </c>
      <c r="B105" t="s">
        <v>298</v>
      </c>
      <c r="C105" s="126">
        <v>0</v>
      </c>
    </row>
    <row r="106" spans="1:3" x14ac:dyDescent="0.25">
      <c r="A106" t="s">
        <v>299</v>
      </c>
      <c r="B106" t="s">
        <v>300</v>
      </c>
      <c r="C106" s="126">
        <v>0</v>
      </c>
    </row>
    <row r="107" spans="1:3" x14ac:dyDescent="0.25">
      <c r="A107" t="s">
        <v>301</v>
      </c>
      <c r="B107" t="s">
        <v>302</v>
      </c>
      <c r="C107" s="126">
        <v>0</v>
      </c>
    </row>
    <row r="108" spans="1:3" x14ac:dyDescent="0.25">
      <c r="A108" t="s">
        <v>303</v>
      </c>
      <c r="B108" t="s">
        <v>304</v>
      </c>
      <c r="C108" s="126">
        <v>0</v>
      </c>
    </row>
    <row r="109" spans="1:3" x14ac:dyDescent="0.25">
      <c r="A109" t="s">
        <v>305</v>
      </c>
      <c r="B109" t="s">
        <v>306</v>
      </c>
      <c r="C109" s="126">
        <v>0</v>
      </c>
    </row>
    <row r="110" spans="1:3" x14ac:dyDescent="0.25">
      <c r="A110" t="s">
        <v>307</v>
      </c>
      <c r="B110" t="s">
        <v>308</v>
      </c>
      <c r="C110" s="126">
        <v>0</v>
      </c>
    </row>
    <row r="111" spans="1:3" x14ac:dyDescent="0.25">
      <c r="A111" t="s">
        <v>309</v>
      </c>
      <c r="B111" t="s">
        <v>310</v>
      </c>
      <c r="C111" s="126">
        <v>0</v>
      </c>
    </row>
    <row r="112" spans="1:3" x14ac:dyDescent="0.25">
      <c r="A112" t="s">
        <v>311</v>
      </c>
      <c r="B112" t="s">
        <v>312</v>
      </c>
      <c r="C112" s="126">
        <v>0</v>
      </c>
    </row>
    <row r="113" spans="1:3" x14ac:dyDescent="0.25">
      <c r="A113" t="s">
        <v>313</v>
      </c>
      <c r="B113" t="s">
        <v>314</v>
      </c>
      <c r="C113" s="126">
        <v>0</v>
      </c>
    </row>
    <row r="114" spans="1:3" x14ac:dyDescent="0.25">
      <c r="A114" t="s">
        <v>315</v>
      </c>
      <c r="B114" t="s">
        <v>316</v>
      </c>
      <c r="C114" s="126">
        <v>0</v>
      </c>
    </row>
    <row r="115" spans="1:3" x14ac:dyDescent="0.25">
      <c r="A115" t="s">
        <v>317</v>
      </c>
      <c r="B115" t="s">
        <v>318</v>
      </c>
      <c r="C115" s="126">
        <v>0</v>
      </c>
    </row>
    <row r="116" spans="1:3" x14ac:dyDescent="0.25">
      <c r="A116" t="s">
        <v>319</v>
      </c>
      <c r="B116" t="s">
        <v>320</v>
      </c>
      <c r="C116" s="126">
        <v>0</v>
      </c>
    </row>
    <row r="117" spans="1:3" x14ac:dyDescent="0.25">
      <c r="A117" t="s">
        <v>321</v>
      </c>
      <c r="B117" t="s">
        <v>322</v>
      </c>
      <c r="C117" s="126">
        <v>0</v>
      </c>
    </row>
    <row r="118" spans="1:3" x14ac:dyDescent="0.25">
      <c r="A118" t="s">
        <v>323</v>
      </c>
      <c r="B118" t="s">
        <v>324</v>
      </c>
      <c r="C118" s="126">
        <v>0</v>
      </c>
    </row>
    <row r="119" spans="1:3" x14ac:dyDescent="0.25">
      <c r="A119" t="s">
        <v>325</v>
      </c>
      <c r="B119" t="s">
        <v>326</v>
      </c>
      <c r="C119" s="126">
        <v>0</v>
      </c>
    </row>
    <row r="120" spans="1:3" x14ac:dyDescent="0.25">
      <c r="A120" t="s">
        <v>327</v>
      </c>
      <c r="B120" t="s">
        <v>328</v>
      </c>
      <c r="C120" s="126">
        <v>0</v>
      </c>
    </row>
    <row r="121" spans="1:3" x14ac:dyDescent="0.25">
      <c r="A121" t="s">
        <v>329</v>
      </c>
      <c r="B121" t="s">
        <v>330</v>
      </c>
      <c r="C121" s="126">
        <v>0</v>
      </c>
    </row>
    <row r="122" spans="1:3" x14ac:dyDescent="0.25">
      <c r="A122" t="s">
        <v>331</v>
      </c>
      <c r="B122" t="s">
        <v>332</v>
      </c>
      <c r="C122" s="126">
        <v>0</v>
      </c>
    </row>
    <row r="123" spans="1:3" x14ac:dyDescent="0.25">
      <c r="A123" t="s">
        <v>333</v>
      </c>
      <c r="B123" t="s">
        <v>334</v>
      </c>
      <c r="C123" s="126">
        <v>0</v>
      </c>
    </row>
    <row r="124" spans="1:3" x14ac:dyDescent="0.25">
      <c r="A124" t="s">
        <v>335</v>
      </c>
      <c r="B124" t="s">
        <v>336</v>
      </c>
      <c r="C124" s="126">
        <v>0</v>
      </c>
    </row>
    <row r="125" spans="1:3" x14ac:dyDescent="0.25">
      <c r="A125" t="s">
        <v>337</v>
      </c>
      <c r="B125" t="s">
        <v>338</v>
      </c>
      <c r="C125" s="126">
        <v>0</v>
      </c>
    </row>
    <row r="126" spans="1:3" x14ac:dyDescent="0.25">
      <c r="A126" t="s">
        <v>339</v>
      </c>
      <c r="B126" t="s">
        <v>340</v>
      </c>
      <c r="C126" s="126">
        <v>0</v>
      </c>
    </row>
    <row r="127" spans="1:3" x14ac:dyDescent="0.25">
      <c r="A127" t="s">
        <v>341</v>
      </c>
      <c r="B127" t="s">
        <v>342</v>
      </c>
      <c r="C127" s="126">
        <v>0</v>
      </c>
    </row>
    <row r="128" spans="1:3" x14ac:dyDescent="0.25">
      <c r="A128" t="s">
        <v>343</v>
      </c>
      <c r="B128" t="s">
        <v>344</v>
      </c>
      <c r="C128" s="126">
        <v>0</v>
      </c>
    </row>
    <row r="129" spans="1:3" x14ac:dyDescent="0.25">
      <c r="A129" t="s">
        <v>345</v>
      </c>
      <c r="B129" t="s">
        <v>346</v>
      </c>
      <c r="C129" s="126">
        <v>0</v>
      </c>
    </row>
    <row r="130" spans="1:3" x14ac:dyDescent="0.25">
      <c r="A130" t="s">
        <v>347</v>
      </c>
      <c r="B130" t="s">
        <v>348</v>
      </c>
      <c r="C130" s="126">
        <v>0</v>
      </c>
    </row>
    <row r="131" spans="1:3" x14ac:dyDescent="0.25">
      <c r="A131" t="s">
        <v>349</v>
      </c>
      <c r="B131" t="s">
        <v>350</v>
      </c>
      <c r="C131" s="126">
        <v>0</v>
      </c>
    </row>
    <row r="132" spans="1:3" x14ac:dyDescent="0.25">
      <c r="A132" t="s">
        <v>351</v>
      </c>
      <c r="B132" t="s">
        <v>352</v>
      </c>
      <c r="C132" s="126">
        <v>0</v>
      </c>
    </row>
    <row r="133" spans="1:3" x14ac:dyDescent="0.25">
      <c r="A133" t="s">
        <v>353</v>
      </c>
      <c r="B133" t="s">
        <v>354</v>
      </c>
      <c r="C133" s="126">
        <v>0</v>
      </c>
    </row>
    <row r="134" spans="1:3" x14ac:dyDescent="0.25">
      <c r="A134" t="s">
        <v>355</v>
      </c>
      <c r="B134" t="s">
        <v>356</v>
      </c>
      <c r="C134" s="126">
        <v>0</v>
      </c>
    </row>
    <row r="135" spans="1:3" x14ac:dyDescent="0.25">
      <c r="A135" t="s">
        <v>357</v>
      </c>
      <c r="B135" t="s">
        <v>358</v>
      </c>
      <c r="C135" s="126">
        <v>0</v>
      </c>
    </row>
    <row r="136" spans="1:3" x14ac:dyDescent="0.25">
      <c r="A136" t="s">
        <v>359</v>
      </c>
      <c r="B136" t="s">
        <v>360</v>
      </c>
      <c r="C136" s="126">
        <v>0</v>
      </c>
    </row>
    <row r="137" spans="1:3" x14ac:dyDescent="0.25">
      <c r="A137" t="s">
        <v>361</v>
      </c>
      <c r="B137" t="s">
        <v>362</v>
      </c>
      <c r="C137" s="126">
        <v>0</v>
      </c>
    </row>
    <row r="138" spans="1:3" x14ac:dyDescent="0.25">
      <c r="A138" t="s">
        <v>363</v>
      </c>
      <c r="B138" t="s">
        <v>364</v>
      </c>
      <c r="C138" s="126">
        <v>0</v>
      </c>
    </row>
    <row r="139" spans="1:3" x14ac:dyDescent="0.25">
      <c r="A139" t="s">
        <v>365</v>
      </c>
      <c r="B139" t="s">
        <v>366</v>
      </c>
      <c r="C139" s="126">
        <v>0</v>
      </c>
    </row>
    <row r="140" spans="1:3" x14ac:dyDescent="0.25">
      <c r="A140" t="s">
        <v>367</v>
      </c>
      <c r="B140" t="s">
        <v>368</v>
      </c>
      <c r="C140" s="126">
        <v>0</v>
      </c>
    </row>
    <row r="141" spans="1:3" x14ac:dyDescent="0.25">
      <c r="A141" t="s">
        <v>369</v>
      </c>
      <c r="B141" t="s">
        <v>370</v>
      </c>
      <c r="C141" s="126">
        <v>0</v>
      </c>
    </row>
    <row r="142" spans="1:3" x14ac:dyDescent="0.25">
      <c r="A142" t="s">
        <v>371</v>
      </c>
      <c r="B142" t="s">
        <v>372</v>
      </c>
      <c r="C142" s="126">
        <v>0</v>
      </c>
    </row>
    <row r="143" spans="1:3" x14ac:dyDescent="0.25">
      <c r="A143" t="s">
        <v>373</v>
      </c>
      <c r="B143" t="s">
        <v>374</v>
      </c>
      <c r="C143" s="126">
        <v>0</v>
      </c>
    </row>
    <row r="144" spans="1:3" x14ac:dyDescent="0.25">
      <c r="A144" t="s">
        <v>375</v>
      </c>
      <c r="B144" t="s">
        <v>376</v>
      </c>
      <c r="C144" s="126">
        <v>0</v>
      </c>
    </row>
    <row r="145" spans="1:3" x14ac:dyDescent="0.25">
      <c r="A145" t="s">
        <v>377</v>
      </c>
      <c r="B145" t="s">
        <v>378</v>
      </c>
      <c r="C145" s="126">
        <v>0</v>
      </c>
    </row>
    <row r="146" spans="1:3" x14ac:dyDescent="0.25">
      <c r="A146" t="s">
        <v>379</v>
      </c>
      <c r="B146" t="s">
        <v>380</v>
      </c>
      <c r="C146" s="126">
        <v>0</v>
      </c>
    </row>
    <row r="147" spans="1:3" x14ac:dyDescent="0.25">
      <c r="A147" t="s">
        <v>381</v>
      </c>
      <c r="B147" t="s">
        <v>382</v>
      </c>
      <c r="C147" s="126">
        <v>0</v>
      </c>
    </row>
    <row r="148" spans="1:3" x14ac:dyDescent="0.25">
      <c r="A148" t="s">
        <v>383</v>
      </c>
      <c r="B148" t="s">
        <v>384</v>
      </c>
      <c r="C148" s="126">
        <v>0</v>
      </c>
    </row>
    <row r="149" spans="1:3" x14ac:dyDescent="0.25">
      <c r="A149" t="s">
        <v>385</v>
      </c>
      <c r="B149" t="s">
        <v>386</v>
      </c>
      <c r="C149" s="126">
        <v>0</v>
      </c>
    </row>
    <row r="150" spans="1:3" x14ac:dyDescent="0.25">
      <c r="A150" t="s">
        <v>387</v>
      </c>
      <c r="B150" t="s">
        <v>388</v>
      </c>
      <c r="C150" s="126">
        <v>0</v>
      </c>
    </row>
    <row r="151" spans="1:3" x14ac:dyDescent="0.25">
      <c r="A151" t="s">
        <v>389</v>
      </c>
      <c r="B151" t="s">
        <v>390</v>
      </c>
      <c r="C151" s="126">
        <v>0</v>
      </c>
    </row>
    <row r="152" spans="1:3" x14ac:dyDescent="0.25">
      <c r="A152" t="s">
        <v>391</v>
      </c>
      <c r="B152" t="s">
        <v>392</v>
      </c>
      <c r="C152" s="126">
        <v>0</v>
      </c>
    </row>
    <row r="153" spans="1:3" x14ac:dyDescent="0.25">
      <c r="A153" t="s">
        <v>393</v>
      </c>
      <c r="B153" t="s">
        <v>394</v>
      </c>
      <c r="C153" s="126">
        <v>0</v>
      </c>
    </row>
    <row r="154" spans="1:3" x14ac:dyDescent="0.25">
      <c r="A154" t="s">
        <v>395</v>
      </c>
      <c r="B154" t="s">
        <v>396</v>
      </c>
      <c r="C154" s="126">
        <v>0</v>
      </c>
    </row>
    <row r="155" spans="1:3" x14ac:dyDescent="0.25">
      <c r="A155" t="s">
        <v>397</v>
      </c>
      <c r="B155" t="s">
        <v>398</v>
      </c>
      <c r="C155" s="126">
        <v>0</v>
      </c>
    </row>
    <row r="156" spans="1:3" x14ac:dyDescent="0.25">
      <c r="A156" t="s">
        <v>399</v>
      </c>
      <c r="B156" t="s">
        <v>400</v>
      </c>
      <c r="C156" s="126">
        <v>0</v>
      </c>
    </row>
    <row r="157" spans="1:3" x14ac:dyDescent="0.25">
      <c r="A157" t="s">
        <v>401</v>
      </c>
      <c r="B157" t="s">
        <v>402</v>
      </c>
      <c r="C157" s="126">
        <v>0</v>
      </c>
    </row>
    <row r="158" spans="1:3" x14ac:dyDescent="0.25">
      <c r="A158" t="s">
        <v>403</v>
      </c>
      <c r="B158" t="s">
        <v>404</v>
      </c>
      <c r="C158" s="126">
        <v>0</v>
      </c>
    </row>
    <row r="159" spans="1:3" x14ac:dyDescent="0.25">
      <c r="A159" t="s">
        <v>405</v>
      </c>
      <c r="B159" t="s">
        <v>406</v>
      </c>
      <c r="C159" s="126">
        <v>0</v>
      </c>
    </row>
    <row r="160" spans="1:3" x14ac:dyDescent="0.25">
      <c r="A160" t="s">
        <v>407</v>
      </c>
      <c r="B160" t="s">
        <v>408</v>
      </c>
      <c r="C160" s="126">
        <v>0</v>
      </c>
    </row>
    <row r="161" spans="1:3" x14ac:dyDescent="0.25">
      <c r="A161" t="s">
        <v>409</v>
      </c>
      <c r="B161" t="s">
        <v>410</v>
      </c>
      <c r="C161" s="126">
        <v>0</v>
      </c>
    </row>
    <row r="162" spans="1:3" x14ac:dyDescent="0.25">
      <c r="A162" t="s">
        <v>411</v>
      </c>
      <c r="B162" t="s">
        <v>412</v>
      </c>
      <c r="C162" s="126">
        <v>0</v>
      </c>
    </row>
    <row r="163" spans="1:3" x14ac:dyDescent="0.25">
      <c r="A163" t="s">
        <v>413</v>
      </c>
      <c r="B163" t="s">
        <v>414</v>
      </c>
      <c r="C163" s="126">
        <v>0</v>
      </c>
    </row>
    <row r="164" spans="1:3" x14ac:dyDescent="0.25">
      <c r="A164" t="s">
        <v>415</v>
      </c>
      <c r="B164" t="s">
        <v>416</v>
      </c>
      <c r="C164" s="126">
        <v>0</v>
      </c>
    </row>
    <row r="165" spans="1:3" x14ac:dyDescent="0.25">
      <c r="A165" t="s">
        <v>417</v>
      </c>
      <c r="B165" t="s">
        <v>418</v>
      </c>
      <c r="C165" s="126">
        <v>0</v>
      </c>
    </row>
    <row r="166" spans="1:3" x14ac:dyDescent="0.25">
      <c r="A166" t="s">
        <v>419</v>
      </c>
      <c r="B166" t="s">
        <v>420</v>
      </c>
      <c r="C166" s="126">
        <v>0</v>
      </c>
    </row>
    <row r="167" spans="1:3" x14ac:dyDescent="0.25">
      <c r="A167" t="s">
        <v>421</v>
      </c>
      <c r="B167" t="s">
        <v>422</v>
      </c>
      <c r="C167" s="126">
        <v>0</v>
      </c>
    </row>
    <row r="168" spans="1:3" x14ac:dyDescent="0.25">
      <c r="A168" t="s">
        <v>423</v>
      </c>
      <c r="B168" t="s">
        <v>424</v>
      </c>
      <c r="C168" s="126">
        <v>0</v>
      </c>
    </row>
    <row r="169" spans="1:3" x14ac:dyDescent="0.25">
      <c r="A169" t="s">
        <v>425</v>
      </c>
      <c r="B169" t="s">
        <v>426</v>
      </c>
      <c r="C169" s="126">
        <v>0</v>
      </c>
    </row>
    <row r="170" spans="1:3" x14ac:dyDescent="0.25">
      <c r="A170" t="s">
        <v>427</v>
      </c>
      <c r="B170" t="s">
        <v>428</v>
      </c>
      <c r="C170" s="126">
        <v>0</v>
      </c>
    </row>
    <row r="171" spans="1:3" x14ac:dyDescent="0.25">
      <c r="A171" t="s">
        <v>429</v>
      </c>
      <c r="B171" t="s">
        <v>430</v>
      </c>
      <c r="C171" s="126">
        <v>0</v>
      </c>
    </row>
    <row r="172" spans="1:3" x14ac:dyDescent="0.25">
      <c r="A172" t="s">
        <v>431</v>
      </c>
      <c r="B172" t="s">
        <v>432</v>
      </c>
      <c r="C172" s="126">
        <v>0</v>
      </c>
    </row>
    <row r="173" spans="1:3" x14ac:dyDescent="0.25">
      <c r="A173" t="s">
        <v>433</v>
      </c>
      <c r="B173" t="s">
        <v>434</v>
      </c>
      <c r="C173" s="126">
        <v>0</v>
      </c>
    </row>
    <row r="174" spans="1:3" x14ac:dyDescent="0.25">
      <c r="A174" t="s">
        <v>435</v>
      </c>
      <c r="B174" t="s">
        <v>436</v>
      </c>
      <c r="C174" s="126">
        <v>0</v>
      </c>
    </row>
    <row r="175" spans="1:3" x14ac:dyDescent="0.25">
      <c r="A175" t="s">
        <v>437</v>
      </c>
      <c r="B175" t="s">
        <v>438</v>
      </c>
      <c r="C175" s="126">
        <v>0</v>
      </c>
    </row>
    <row r="176" spans="1:3" x14ac:dyDescent="0.25">
      <c r="A176" t="s">
        <v>439</v>
      </c>
      <c r="B176" t="s">
        <v>440</v>
      </c>
      <c r="C176" s="126">
        <v>0</v>
      </c>
    </row>
    <row r="177" spans="1:3" x14ac:dyDescent="0.25">
      <c r="A177" t="s">
        <v>441</v>
      </c>
      <c r="B177" t="s">
        <v>442</v>
      </c>
      <c r="C177" s="126">
        <v>0</v>
      </c>
    </row>
    <row r="178" spans="1:3" x14ac:dyDescent="0.25">
      <c r="A178" t="s">
        <v>443</v>
      </c>
      <c r="B178" t="s">
        <v>444</v>
      </c>
      <c r="C178" s="126">
        <v>0</v>
      </c>
    </row>
    <row r="179" spans="1:3" x14ac:dyDescent="0.25">
      <c r="A179" t="s">
        <v>445</v>
      </c>
      <c r="B179" t="s">
        <v>446</v>
      </c>
      <c r="C179" s="126">
        <v>0</v>
      </c>
    </row>
    <row r="180" spans="1:3" x14ac:dyDescent="0.25">
      <c r="A180" t="s">
        <v>447</v>
      </c>
      <c r="B180" t="s">
        <v>448</v>
      </c>
      <c r="C180" s="126">
        <v>2700</v>
      </c>
    </row>
    <row r="181" spans="1:3" x14ac:dyDescent="0.25">
      <c r="A181" t="s">
        <v>449</v>
      </c>
      <c r="B181" t="s">
        <v>450</v>
      </c>
      <c r="C181" s="126">
        <v>2700</v>
      </c>
    </row>
    <row r="182" spans="1:3" x14ac:dyDescent="0.25">
      <c r="A182" t="s">
        <v>451</v>
      </c>
      <c r="B182" t="s">
        <v>452</v>
      </c>
      <c r="C182" s="126">
        <v>2700</v>
      </c>
    </row>
    <row r="183" spans="1:3" x14ac:dyDescent="0.25">
      <c r="A183" t="s">
        <v>453</v>
      </c>
      <c r="B183" t="s">
        <v>454</v>
      </c>
      <c r="C183" s="126">
        <v>2700</v>
      </c>
    </row>
    <row r="184" spans="1:3" x14ac:dyDescent="0.25">
      <c r="A184" t="s">
        <v>455</v>
      </c>
      <c r="B184" t="s">
        <v>456</v>
      </c>
      <c r="C184" s="126">
        <v>2700</v>
      </c>
    </row>
    <row r="185" spans="1:3" x14ac:dyDescent="0.25">
      <c r="A185" t="s">
        <v>457</v>
      </c>
      <c r="B185" t="s">
        <v>458</v>
      </c>
      <c r="C185" s="126">
        <v>2700</v>
      </c>
    </row>
    <row r="186" spans="1:3" x14ac:dyDescent="0.25">
      <c r="A186" t="s">
        <v>459</v>
      </c>
      <c r="B186" t="s">
        <v>460</v>
      </c>
      <c r="C186" s="126">
        <v>2700</v>
      </c>
    </row>
    <row r="187" spans="1:3" x14ac:dyDescent="0.25">
      <c r="A187" t="s">
        <v>461</v>
      </c>
      <c r="B187" t="s">
        <v>462</v>
      </c>
      <c r="C187" s="126">
        <v>2700</v>
      </c>
    </row>
    <row r="188" spans="1:3" x14ac:dyDescent="0.25">
      <c r="A188" t="s">
        <v>463</v>
      </c>
      <c r="B188" t="s">
        <v>464</v>
      </c>
      <c r="C188" s="126">
        <v>3450</v>
      </c>
    </row>
    <row r="189" spans="1:3" x14ac:dyDescent="0.25">
      <c r="A189" t="s">
        <v>465</v>
      </c>
      <c r="B189" t="s">
        <v>466</v>
      </c>
      <c r="C189" s="126">
        <v>3450</v>
      </c>
    </row>
  </sheetData>
  <sheetProtection selectLockedCell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2</vt:i4>
      </vt:variant>
      <vt:variant>
        <vt:lpstr>Adlandırılmış Aralıklar</vt:lpstr>
      </vt:variant>
      <vt:variant>
        <vt:i4>1</vt:i4>
      </vt:variant>
    </vt:vector>
  </HeadingPairs>
  <TitlesOfParts>
    <vt:vector size="3" baseType="lpstr">
      <vt:lpstr>1</vt:lpstr>
      <vt:lpstr>MontajGrubu</vt:lpstr>
      <vt:lpstr>'1'!Yazdırma_Alanı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2026-03-13T19:58:07Z</dcterms:modified>
</cp:coreProperties>
</file>