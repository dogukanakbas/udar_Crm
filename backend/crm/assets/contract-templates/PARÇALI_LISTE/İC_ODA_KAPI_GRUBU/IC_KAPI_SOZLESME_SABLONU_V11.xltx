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defaultThemeVersion="164011"/>
  <bookViews>
    <workbookView xWindow="0" yWindow="0" windowWidth="22260" windowHeight="12645"/>
  </bookViews>
  <sheets>
    <sheet name="1" sheetId="53" r:id="rId1"/>
    <sheet name="IcKapiGrubu" sheetId="83" r:id="rId2"/>
  </sheets>
  <definedNames>
    <definedName name="_xlnm.Print_Area" localSheetId="0">'1'!$A$1:$M$100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9" i="53" l="1"/>
  <c r="H40" i="53"/>
  <c r="H41" i="53"/>
  <c r="H42" i="53"/>
  <c r="H43" i="53"/>
  <c r="H44" i="53"/>
  <c r="D39" i="53"/>
  <c r="D40" i="53"/>
  <c r="D41" i="53"/>
  <c r="D42" i="53"/>
  <c r="D43" i="53"/>
  <c r="D44" i="53"/>
  <c r="D38" i="53"/>
  <c r="M39" i="53"/>
  <c r="M40" i="53"/>
  <c r="M41" i="53"/>
  <c r="M42" i="53"/>
  <c r="M43" i="53"/>
  <c r="M44" i="53"/>
  <c r="L39" i="53"/>
  <c r="L40" i="53"/>
  <c r="L41" i="53"/>
  <c r="L42" i="53"/>
  <c r="L43" i="53"/>
  <c r="L44" i="53"/>
  <c r="G45" i="53"/>
  <c r="D30" i="53" l="1"/>
  <c r="I79" i="53" l="1"/>
  <c r="J89" i="53"/>
  <c r="H38" i="53"/>
  <c r="L38" i="53"/>
  <c r="M14" i="53" l="1"/>
  <c r="M38" i="53" l="1"/>
  <c r="M45" i="53" l="1"/>
  <c r="M46" i="53" s="1"/>
  <c r="M47" i="53" s="1"/>
  <c r="L62" i="53" s="1"/>
  <c r="L63" i="53" s="1"/>
</calcChain>
</file>

<file path=xl/sharedStrings.xml><?xml version="1.0" encoding="utf-8"?>
<sst xmlns="http://schemas.openxmlformats.org/spreadsheetml/2006/main" count="340" uniqueCount="332">
  <si>
    <t>Kod</t>
  </si>
  <si>
    <t xml:space="preserve">Satış Birimi </t>
  </si>
  <si>
    <t xml:space="preserve">Ölçü </t>
  </si>
  <si>
    <t>Renk</t>
  </si>
  <si>
    <t>Miktar</t>
  </si>
  <si>
    <t>Birim</t>
  </si>
  <si>
    <t xml:space="preserve">Tutar </t>
  </si>
  <si>
    <t>Adet</t>
  </si>
  <si>
    <t>Tutar Toplam</t>
  </si>
  <si>
    <t>K.D.V. %20</t>
  </si>
  <si>
    <t xml:space="preserve">Yekün </t>
  </si>
  <si>
    <t>1- Alıcı özellikleri belirtilen ürünlerinin;talebi doğrultusunda anlaşılmış satış şartlarını da kabul eder.</t>
  </si>
  <si>
    <t>2- Satıcı özellikleri belirtilen ürünlerini;talep doğrultusunda üretimini yapacağını kabul eder.</t>
  </si>
  <si>
    <t>3- Alıcı onayladığı siparişi değiştirmesi halinde firmanın uğrayacağı zararı karşılamak zorundadır.</t>
  </si>
  <si>
    <t xml:space="preserve">4- Ödemesi alınmamış siparişin sözleşmesi imzalanmış dahi olsa üretime alınmayacaktır. Satıcı sorumlu tutulamaz. </t>
  </si>
  <si>
    <t xml:space="preserve">5- Mücbir sebeplerden (yangın+deprem+kaza)kaynaklanan gecikmelerde satıcı mesul tutulamaz. </t>
  </si>
  <si>
    <t>6- Sevk tarihinden 3 gün içinde alıcı tarafından yazılı bildirimde bulunulmadığı takdirde eksiksiz teslim aldığını kabul eder.</t>
  </si>
  <si>
    <t>7- Alıcı sözleşmeyi imzalamadan önce;firmaya (vergi levhası,yetki belgesi,imza sirküleri)eksiksiz beyan eder.</t>
  </si>
  <si>
    <t>Türkiye İş Bankası</t>
  </si>
  <si>
    <t xml:space="preserve">Ziraat Bankası </t>
  </si>
  <si>
    <t xml:space="preserve">Vakıflar Bankası </t>
  </si>
  <si>
    <t>ORTKA YAPI ELEMANLARI ÜRETİM SAN.LTD.ŞTİ</t>
  </si>
  <si>
    <t>TR66 0020 3000 0056 3735 0000 02</t>
  </si>
  <si>
    <t>TR24 0006 4000 0018 6003 9367 45</t>
  </si>
  <si>
    <t>TR57 0001 5001 5800 7284 2692 06</t>
  </si>
  <si>
    <t>TR07 0001 0021 6935 0399 4450 09</t>
  </si>
  <si>
    <t xml:space="preserve">TOPLAM YEKÜN </t>
  </si>
  <si>
    <t xml:space="preserve">GEÇERLİLİK TARİHİ </t>
  </si>
  <si>
    <t xml:space="preserve">FİRMA UNVANLARI &amp; İBANLAR </t>
  </si>
  <si>
    <t>ORTKA YAPI ELEMANLARI ÜRETİM SAN.LTD.ŞTİ TL</t>
  </si>
  <si>
    <t xml:space="preserve">AYKA KAPI ADINA İMZA </t>
  </si>
  <si>
    <t>AYKA KAPI SANAYİ TİCARET ANONİM ŞİRKETİ</t>
  </si>
  <si>
    <t>VERGİ DAİRESİ : BEYDAĞI</t>
  </si>
  <si>
    <t>VERGİ NO: 6480365207</t>
  </si>
  <si>
    <t>VERGİ NO: 1210461108</t>
  </si>
  <si>
    <t>MAİL/TEL: muhasebe@aykakapi.com.tr / 444 0 932</t>
  </si>
  <si>
    <t>CARİ ÜNVANI</t>
  </si>
  <si>
    <t>VERGİ DAİRESİ / NO</t>
  </si>
  <si>
    <t>ADRES</t>
  </si>
  <si>
    <t>YETKİLİ</t>
  </si>
  <si>
    <t>TELEFON/MAİL</t>
  </si>
  <si>
    <t xml:space="preserve">TARAFLAR </t>
  </si>
  <si>
    <t>TARİH</t>
  </si>
  <si>
    <t xml:space="preserve">HAZIRLAYAN </t>
  </si>
  <si>
    <t>ALICI BİLGİLERİ</t>
  </si>
  <si>
    <t xml:space="preserve">MAHMUT SAYAR </t>
  </si>
  <si>
    <t xml:space="preserve">FURKAN NAİM BÜKER </t>
  </si>
  <si>
    <t>UBEYDE SALKINI</t>
  </si>
  <si>
    <t xml:space="preserve">         TUĞRUL MELİH TÜRKYILMAZ </t>
  </si>
  <si>
    <t>TEKLİF TARİHİNDEN İTİBAREN</t>
  </si>
  <si>
    <t xml:space="preserve">     3 İŞ GÜNÜ </t>
  </si>
  <si>
    <t>7 İŞ GÜNÜ</t>
  </si>
  <si>
    <t>10 İŞ GÜNÜ</t>
  </si>
  <si>
    <t>9- İşbu sözleşmeden doğacak ihtilaflarda Malatya Mahkemeleri ve İcra Daireleri yetkilidir.</t>
  </si>
  <si>
    <t>8- Ürünler teslim tarihinden itibaren 2 (iki) yıl süreyle imalat hatalarına karşı garantilidir.
Kullanım hatası, yanlış montaj, üçüncü şahıs müdahalesi, darbe, şantiye koşulları, depolama hatası ve satıcı kontrolü dışındaki dış etkenlerden kaynaklanan hasarlar garanti kapsamı dışındadır.</t>
  </si>
  <si>
    <t xml:space="preserve">Liste Fiyatı </t>
  </si>
  <si>
    <t xml:space="preserve">Birim Net Fiyatı </t>
  </si>
  <si>
    <t>SÖZLEŞME</t>
  </si>
  <si>
    <t>YÖNETİM</t>
  </si>
  <si>
    <t>* Bu teklif, firmamızın Mikro ERP MRP II üretim, maliyetlendirme ve stok yönetim sistemi esas alınarak hazırlanmıştır. Onaylanan siparişler sistem üzerinden üretim iş emrine dönüştürülmektedir. Teklif onayı sonrası fiyat ve teknik içerik sistem kaydı ile kesinlik kazanır.</t>
  </si>
  <si>
    <t xml:space="preserve">kod </t>
  </si>
  <si>
    <t>ürün adı</t>
  </si>
  <si>
    <t>1-İskonto %</t>
  </si>
  <si>
    <t>2-İskonto %</t>
  </si>
  <si>
    <t>VAHAP DARDAN</t>
  </si>
  <si>
    <t>2026/1. LİSTE : 26/1</t>
  </si>
  <si>
    <t xml:space="preserve"> F.LİSTESİ</t>
  </si>
  <si>
    <t xml:space="preserve">TİCARİ ŞARTLAR </t>
  </si>
  <si>
    <t>Teslim Şekli</t>
  </si>
  <si>
    <t xml:space="preserve">Ödeme Şekli </t>
  </si>
  <si>
    <t>Teslim Süresi</t>
  </si>
  <si>
    <t>Montaj Hizmeti</t>
  </si>
  <si>
    <t>Nakliye</t>
  </si>
  <si>
    <t xml:space="preserve">Geçerlilik Süresi </t>
  </si>
  <si>
    <t>YEKÜN İCMAAL</t>
  </si>
  <si>
    <t>Garanti BBVA Bankası TR14 0006 2000 1120 0006 2913 29</t>
  </si>
  <si>
    <t>AYKA KAPI SANAYİ TİCARET ANONİM ŞİRKETİ TL</t>
  </si>
  <si>
    <t>GENEL ŞARTLAR &amp; SÖZLEŞME NOTLARI</t>
  </si>
  <si>
    <t xml:space="preserve">SÖZLEŞME NOTLARI </t>
  </si>
  <si>
    <t>3-</t>
  </si>
  <si>
    <t>4-</t>
  </si>
  <si>
    <t>5-</t>
  </si>
  <si>
    <t>6-</t>
  </si>
  <si>
    <t xml:space="preserve">SÖZLEŞME NUMARASI </t>
  </si>
  <si>
    <t xml:space="preserve">TARAFLARIN KAŞE İMZASI </t>
  </si>
  <si>
    <t>Ziraat Bankası                  TR72 0001 0021 6994 2088 8850 01</t>
  </si>
  <si>
    <t>Albaraka Türk K.Bank.  TR25 0020 3000 0770 5276 0000 01</t>
  </si>
  <si>
    <t>Albaraka Türk K.Bank</t>
  </si>
  <si>
    <t>1- Ölçüler Net ölçü üzerinden değerlendirilmiştir.</t>
  </si>
  <si>
    <t xml:space="preserve">2- Üretim Öncesi Teyit alınacaktır </t>
  </si>
  <si>
    <t xml:space="preserve">SATIŞ TEMSİLCİSİ BİLGİ ALANI </t>
  </si>
  <si>
    <t>SATIŞ ŞİRKETİ</t>
  </si>
  <si>
    <t xml:space="preserve">İÇ ODA KAPISI </t>
  </si>
  <si>
    <t>İç Oda Kapısı Teknik Özellikler Temsilci Tarafından doldurulur.</t>
  </si>
  <si>
    <t xml:space="preserve">* 6 mm Pvc Yüzey &amp; Lake </t>
  </si>
  <si>
    <t xml:space="preserve">* Kasa 36 mm Pvc&amp;Lake </t>
  </si>
  <si>
    <t>* Cnc Motifli Model</t>
  </si>
  <si>
    <t xml:space="preserve">* Izgara Seren FingerJoint </t>
  </si>
  <si>
    <t>birim fiyatı</t>
  </si>
  <si>
    <t>152.26.001</t>
  </si>
  <si>
    <t>Pvc Membran-1 Kanat-Pvc Kasa 10 cm-9 cm 8 mm Takım</t>
  </si>
  <si>
    <t>152.26.003</t>
  </si>
  <si>
    <t>Pvc Membran- Kanat-Pvc Kasa 12 cm-9 cm 8 mm Takım</t>
  </si>
  <si>
    <t>152.26.005</t>
  </si>
  <si>
    <t>Pvc Membran- Kanat-Pvc Kasa 14 cm-9 cm 8 mm Takım</t>
  </si>
  <si>
    <t>152.26.007</t>
  </si>
  <si>
    <t>Pvc Membran- Kanat-Pvc Kasa 16 cm-9 cm 8 mm Takım</t>
  </si>
  <si>
    <t>152.26.011</t>
  </si>
  <si>
    <t>Pvc Membran-1 Kanat-Pvc Kasa 10 cm-9 cm 10 mm Takım</t>
  </si>
  <si>
    <t>152.26.013</t>
  </si>
  <si>
    <t>Pvc Membran-1 Kanat-Pvc Kasa 12 cm-9 cm 10 mm Takım</t>
  </si>
  <si>
    <t>152.26.015</t>
  </si>
  <si>
    <t>Pvc Membran-1 Kanat-Pvc Kasa 14 cm-9 cm 10 mm Takım</t>
  </si>
  <si>
    <t>152.26.017</t>
  </si>
  <si>
    <t>Pvc Membran-1 Kanat-Pvc Kasa 16 cm-9 cm 10 mm Takım</t>
  </si>
  <si>
    <t>152.26.021</t>
  </si>
  <si>
    <t>Lake-1 Kanat-Pvc Kasa 10 cm-9 cm 10 mm Takım</t>
  </si>
  <si>
    <t>152.26.023</t>
  </si>
  <si>
    <t>Lake-1 Kanat-Pvc Kasa 12 cm-9 cm 10 mm Takım</t>
  </si>
  <si>
    <t>152.26.025</t>
  </si>
  <si>
    <t>Lake-1 Kanat-Pvc Kasa 14 cm-9 cm 10 mm Takım</t>
  </si>
  <si>
    <t>152.26.027</t>
  </si>
  <si>
    <t>Lake-1 Kanat-Pvc Kasa 16 cm-9 cm 10 mm Takım</t>
  </si>
  <si>
    <t>152.26.030</t>
  </si>
  <si>
    <t>Camlı Çıtalı (Cam Hariç) Fiyat Adeti</t>
  </si>
  <si>
    <t>152.26.031</t>
  </si>
  <si>
    <t>Oda&amp;Kilit-Menteşe Takım</t>
  </si>
  <si>
    <t>152.26.032</t>
  </si>
  <si>
    <t xml:space="preserve">Silindirli Kilit Menteşe Takım </t>
  </si>
  <si>
    <t>152.26.033</t>
  </si>
  <si>
    <t>Pervaz Takımı 9cm*18mm Fiyat Farkı Adet</t>
  </si>
  <si>
    <t>152.27.001</t>
  </si>
  <si>
    <t xml:space="preserve">10 CM KASA-9 CM 8 MM Pervaz TAKIM </t>
  </si>
  <si>
    <t>152.27.003</t>
  </si>
  <si>
    <t xml:space="preserve">12 CM KASA-9 CM 8 MM Pervaz TAKIM </t>
  </si>
  <si>
    <t>152.27.005</t>
  </si>
  <si>
    <t xml:space="preserve">14 CM KASA-9 CM 8 MM Pervaz TAKIM </t>
  </si>
  <si>
    <t>152.27.007</t>
  </si>
  <si>
    <t xml:space="preserve">16 CM KASA-9 CM 8 MM Pervaz TAKIM </t>
  </si>
  <si>
    <t>152.27.009</t>
  </si>
  <si>
    <t xml:space="preserve">20 CM KASA-9 CM 8 MM Pervaz TAKIM </t>
  </si>
  <si>
    <t>152.27.011</t>
  </si>
  <si>
    <t xml:space="preserve">10 CM KASA-9 CM 10 MM Pervaz TAKIM </t>
  </si>
  <si>
    <t>152.27.013</t>
  </si>
  <si>
    <t xml:space="preserve">12 CM KASA-9 CM 10 MM Pervaz TAKIM </t>
  </si>
  <si>
    <t>152.27.015</t>
  </si>
  <si>
    <t xml:space="preserve">14 CM KASA-9 CM 10 MM Pervaz TAKIM </t>
  </si>
  <si>
    <t>152.27.017</t>
  </si>
  <si>
    <t xml:space="preserve">16 CM KASA-9 CM 10 MM Pervaz TAKIM </t>
  </si>
  <si>
    <t>152.27.019</t>
  </si>
  <si>
    <t xml:space="preserve">20 CM KASA-9 CM 10 MM Pervaz TAKIM </t>
  </si>
  <si>
    <t>151.10.0001</t>
  </si>
  <si>
    <t>Pvc Camlı Kanat 1- Membran</t>
  </si>
  <si>
    <t>151.10.0002</t>
  </si>
  <si>
    <t xml:space="preserve">Pvc Camlı Kanat 2-Membran </t>
  </si>
  <si>
    <t>151.10.0003</t>
  </si>
  <si>
    <t>Pvc Camlı Kanat 1-Newlıne</t>
  </si>
  <si>
    <t>151.10.0004</t>
  </si>
  <si>
    <t>Pvc Camlı Kanat 2-Newlıne</t>
  </si>
  <si>
    <t>151.10.0005</t>
  </si>
  <si>
    <t>Pvc Camlı Kanat 1- Fugalı</t>
  </si>
  <si>
    <t>151.10.0006</t>
  </si>
  <si>
    <t xml:space="preserve">Pvc Camlı Kanat 2-Fugalı </t>
  </si>
  <si>
    <t>151.10.0007</t>
  </si>
  <si>
    <t>Pvc Camlı Kanat 1- Baroniel</t>
  </si>
  <si>
    <t>151.10.0008</t>
  </si>
  <si>
    <t xml:space="preserve">Pvc Camlı Kanat 2-Baroniel </t>
  </si>
  <si>
    <t>151.10.0025</t>
  </si>
  <si>
    <t>Pvc Camlı Yavru Kanat Membran (20-50 cm)</t>
  </si>
  <si>
    <t>151.10.0028</t>
  </si>
  <si>
    <t>Pvc Camlı Yavru Kanat Newlıne (20-50 cm)</t>
  </si>
  <si>
    <t>151.10.0031</t>
  </si>
  <si>
    <t>Pvc Camlı Yavru Kanat Fugalı (20-50 cm)</t>
  </si>
  <si>
    <t>151.10.0034</t>
  </si>
  <si>
    <t>Pvc Camlı Yavru Kanat Baroniel (20-50 cm)</t>
  </si>
  <si>
    <t>151.10.0037</t>
  </si>
  <si>
    <t xml:space="preserve">Pvc Kapalı Kanat 1-Membran </t>
  </si>
  <si>
    <t>151.10.0038</t>
  </si>
  <si>
    <t xml:space="preserve">Pvc Kapalı Kanat 2-Membran </t>
  </si>
  <si>
    <t>151.10.0039</t>
  </si>
  <si>
    <t xml:space="preserve">Pvc Kapalı Kanat 1-Newlıne </t>
  </si>
  <si>
    <t>151.10.0040</t>
  </si>
  <si>
    <t xml:space="preserve">Pvc Kapalı Kanat 2-Newlıne </t>
  </si>
  <si>
    <t>151.10.0041</t>
  </si>
  <si>
    <t xml:space="preserve">Pvc Kapalı Kanat 1-Fugalı </t>
  </si>
  <si>
    <t>151.10.0042</t>
  </si>
  <si>
    <t xml:space="preserve">Pvc Kapalı Kanat 2-Fugalı </t>
  </si>
  <si>
    <t>151.10.0043</t>
  </si>
  <si>
    <t xml:space="preserve">Pvc Kapalı Kanat 1-Baroniel </t>
  </si>
  <si>
    <t>151.10.0044</t>
  </si>
  <si>
    <t xml:space="preserve">Pvc Kapalı Kanat 2-Baroniel </t>
  </si>
  <si>
    <t>151.10.0061</t>
  </si>
  <si>
    <t>Pvc Kapalı Yavru Kanat Membran (20-50 cm)</t>
  </si>
  <si>
    <t>151.10.0064</t>
  </si>
  <si>
    <t>Pvc Kapalı Yavru Kanat Newlıne (20-50 cm)</t>
  </si>
  <si>
    <t>151.10.0067</t>
  </si>
  <si>
    <t>Pvc Kapalı Yavru Kanat Fugalı (20-50 cm)</t>
  </si>
  <si>
    <t>151.10.0070</t>
  </si>
  <si>
    <t>Pvc Kapalı Yavru Kanat Baroniel (20-50 cm)</t>
  </si>
  <si>
    <t>151.10.0201</t>
  </si>
  <si>
    <t>18*45 Lik Oda Kiliti ve 2mm Menteşe Takımı</t>
  </si>
  <si>
    <t>151.10.0202</t>
  </si>
  <si>
    <t>18*45 Lik Wc Kiliti ve 2mm Menteşe Takımı</t>
  </si>
  <si>
    <t>151.10.0203</t>
  </si>
  <si>
    <t>18*45 Lik Silindirli Kiliti ve 2mm Menteşe Takımı</t>
  </si>
  <si>
    <t>151.10.0204</t>
  </si>
  <si>
    <t>Raylı Kapı Aksesuar ve 2mm Menteşe Takımı</t>
  </si>
  <si>
    <t>151.10.0205</t>
  </si>
  <si>
    <t>18*45Lİk Silindirli Oda Plastik ve 2,5mm Menteşe Takımı</t>
  </si>
  <si>
    <t>151.10.0206</t>
  </si>
  <si>
    <t>Lake Kapalı Kanat 1</t>
  </si>
  <si>
    <t>151.10.0207</t>
  </si>
  <si>
    <t>Lake Kapalı Kanat 2</t>
  </si>
  <si>
    <t>151.10.0208</t>
  </si>
  <si>
    <t>Lake Polikarbon 0,65 m2 Camlı Kanat 2</t>
  </si>
  <si>
    <t>151.10.0209</t>
  </si>
  <si>
    <t>Lake Polikarbon 1,10 m2 Camlı Kanat 2</t>
  </si>
  <si>
    <t>151.10.0210</t>
  </si>
  <si>
    <t>Lake Camlı Kanat 1</t>
  </si>
  <si>
    <t>151.10.0211</t>
  </si>
  <si>
    <t>Lake Camlı Kanat 2</t>
  </si>
  <si>
    <t>151.10.1015</t>
  </si>
  <si>
    <t>İç Kapı Pvc Membran Panel 6 mm 93*210 cm</t>
  </si>
  <si>
    <t>151.10.1020</t>
  </si>
  <si>
    <t>İç Kapı Pvc Membran Panel 6 mm 83*210 cm</t>
  </si>
  <si>
    <t>151.10.1021</t>
  </si>
  <si>
    <t>Pvc Membran Panel 6 mm 83*220 cm</t>
  </si>
  <si>
    <t>151.10.1040</t>
  </si>
  <si>
    <t>Pvc Panel 4 mm 93*210 cm</t>
  </si>
  <si>
    <t>151.10.1045</t>
  </si>
  <si>
    <t>Pvc Panel 4 mm 83*210 cm</t>
  </si>
  <si>
    <t>151.10.1053</t>
  </si>
  <si>
    <t>Pvc Düz Panel 6 mm 83*210 cm</t>
  </si>
  <si>
    <t>151.10.1054</t>
  </si>
  <si>
    <t>Pvc Düz Panel 6 mm 93*210 cm</t>
  </si>
  <si>
    <t>151.10.1055</t>
  </si>
  <si>
    <t>Ham Kapalı Kanat 1</t>
  </si>
  <si>
    <t>151.10.1056</t>
  </si>
  <si>
    <t>Ham Kapalı Kanat 2</t>
  </si>
  <si>
    <t>151.10.1057</t>
  </si>
  <si>
    <t>Ham Camlı Kanat 1</t>
  </si>
  <si>
    <t>151.10.1058</t>
  </si>
  <si>
    <t>Ham Camlı Kanat 2</t>
  </si>
  <si>
    <t>151.10.1059</t>
  </si>
  <si>
    <t>Ham Panel 6mm 83*210 cm</t>
  </si>
  <si>
    <t>151.10.1060</t>
  </si>
  <si>
    <t>Ham Panel 6mm 93*210cm</t>
  </si>
  <si>
    <t>151.10.1061</t>
  </si>
  <si>
    <t>PVC  Kanat Giyotin-1 ( Polikarbon 0,65 m2)</t>
  </si>
  <si>
    <t>151.10.1062</t>
  </si>
  <si>
    <t>PVC  Kanat Giyotin-1( Polikarbon 1,10 m2)</t>
  </si>
  <si>
    <t>151.08.0001</t>
  </si>
  <si>
    <t>Pvc Mdf  Düz Kasa 36 mm 10*210 Cm</t>
  </si>
  <si>
    <t>151.08.0003</t>
  </si>
  <si>
    <t>Pvc Mdf  Düz Kasa 36 mm 12*210 Cm</t>
  </si>
  <si>
    <t>151.08.0005</t>
  </si>
  <si>
    <t>Pvc Mdf  Düz Kasa 36 mm 14*210 Cm</t>
  </si>
  <si>
    <t>151.08.0007</t>
  </si>
  <si>
    <t>Pvc Mdf  Düz Kasa 36 mm 16*210 Cm</t>
  </si>
  <si>
    <t>151.08.0009</t>
  </si>
  <si>
    <t>Pvc Mdf Düz Kasa 36 mm 18*210 Cm</t>
  </si>
  <si>
    <t>151.08.0011</t>
  </si>
  <si>
    <t>Pvc Mdf Düz Kasa 36 mm 20*210 Cm</t>
  </si>
  <si>
    <t>151.08.0401</t>
  </si>
  <si>
    <t>Pvc Plastik Düz Kasa 36 mm 10*210 Cm</t>
  </si>
  <si>
    <t>151.08.0402</t>
  </si>
  <si>
    <t>Pvc Plastik Düz Kasa 36 mm 12*210 Cm</t>
  </si>
  <si>
    <t>151.08.0405</t>
  </si>
  <si>
    <t>Pvc Plastik Bombeli  Kasa 36 mm 15*210 Cm</t>
  </si>
  <si>
    <t>151.08.0407</t>
  </si>
  <si>
    <t>Pvc Plastik Düz Kasa 36 mm 16*210 Cm</t>
  </si>
  <si>
    <t>151.08.0411</t>
  </si>
  <si>
    <t>Pvc Plastik Düz Kasa 36 mm 20*210 Cm</t>
  </si>
  <si>
    <t>151.08.0426</t>
  </si>
  <si>
    <t>Pvc Plastik Düz Kasa 36 mm 20*220 Cm</t>
  </si>
  <si>
    <t>151.08.0701</t>
  </si>
  <si>
    <t xml:space="preserve">Kasa-Pervaz Takım Sarfı 10+12'lük (220 Cm) Pvc MDF </t>
  </si>
  <si>
    <t>151.08.0702</t>
  </si>
  <si>
    <t xml:space="preserve">Kasa-Pervaz Takım Sarfı 14+16 'lik ( 220 Cm) Pvc  MDF </t>
  </si>
  <si>
    <t>151.08.0703</t>
  </si>
  <si>
    <t>Kasa-Pervaz Takım Sarfı 18+20'lik ( 220 Cm)Pvc  MDF</t>
  </si>
  <si>
    <t>151.08.0705</t>
  </si>
  <si>
    <t xml:space="preserve"> Kasa-Pervaz Takım Kartonsuz Sarfı 10+12'lük (220 Cm) Pvc MDF</t>
  </si>
  <si>
    <t>151.08.0706</t>
  </si>
  <si>
    <t xml:space="preserve">Kasa-Pervaz Takım Kartonsuz Sarfı 14+16 'lik </t>
  </si>
  <si>
    <t>151.08.0707</t>
  </si>
  <si>
    <t xml:space="preserve">Kasa-Pervaz Takım Kartonsuz Sarfı 20+22'lik ( 220 Cm)Pvc  MDF </t>
  </si>
  <si>
    <t>151.08.0709</t>
  </si>
  <si>
    <t xml:space="preserve">Kasa-Pervaz Takım  Sarfı 12 'lük ( 220 Cm) Pvc Plastik </t>
  </si>
  <si>
    <t>151.08.0710</t>
  </si>
  <si>
    <t xml:space="preserve"> Kasa-Pervaz Takım  Sarfı 16 'lik ( 220 Cm) Pvc Plastik</t>
  </si>
  <si>
    <t>151.08.0711</t>
  </si>
  <si>
    <t xml:space="preserve">Kasa-Pervaz Takım  Sarfı  20'lik ( 220 Cm) Pvc Plastik </t>
  </si>
  <si>
    <t>151.09.0002</t>
  </si>
  <si>
    <t>Pvc Mdf Düz Pervaz 8*3,5 cm 10 mm 220 Cm</t>
  </si>
  <si>
    <t>151.09.0010</t>
  </si>
  <si>
    <t>Pvc Mdf Düz Pervaz 8*3,5 cm 8 mm 220 Cm</t>
  </si>
  <si>
    <t>151.09.0012</t>
  </si>
  <si>
    <t>Pvc Mdf Düz Pervaz 9*3,5 cm 10 mm 220 Cm</t>
  </si>
  <si>
    <t>151.09.0017</t>
  </si>
  <si>
    <t>Pvc Düz Pervaz 9*3,5 cm 18mm 220 cm</t>
  </si>
  <si>
    <t>151.09.0021</t>
  </si>
  <si>
    <t xml:space="preserve">Pvc Mdf Düz Pervaz 10*3,5 cm 10 mm 210 Cm </t>
  </si>
  <si>
    <t>151.09.0024</t>
  </si>
  <si>
    <t>Pvc Mdf Düz Pervaz 9*3,5 cm 8 mm 210 Cm</t>
  </si>
  <si>
    <t>151.09.0040</t>
  </si>
  <si>
    <t xml:space="preserve">Pvc Mdf Düz Pervaz 16*3,5 cm 8 mm 210 Cm </t>
  </si>
  <si>
    <t>151.09.0094</t>
  </si>
  <si>
    <t xml:space="preserve"> Pvc Mdf Düz Pervaz 9*5 cm 10 mm 220 Cm</t>
  </si>
  <si>
    <t>151.09.0102</t>
  </si>
  <si>
    <t>Pvc Düz Pervaz 10*3,5 cm 8mm 220 cm</t>
  </si>
  <si>
    <t>151.09.0104</t>
  </si>
  <si>
    <t xml:space="preserve">Pvc Mdf Düz Pervaz 9*4,5 cm 10 mm 220 Cm </t>
  </si>
  <si>
    <t>151.09.0334</t>
  </si>
  <si>
    <t xml:space="preserve">Pvc Motifli Pervaz-2- 3,5 220 Cm </t>
  </si>
  <si>
    <t>151.09.0342</t>
  </si>
  <si>
    <t>Pvc Mdf Düz Pervaz 10*3,5 cm 18 mm 220 Cm</t>
  </si>
  <si>
    <t>151.09.0382</t>
  </si>
  <si>
    <t>Pvc  Mdf Süpürgelik 9 cm 10 mm 280 mm</t>
  </si>
  <si>
    <t>151.09.0402</t>
  </si>
  <si>
    <t>PVC.Kap.Düz.Plastik Pervaz 9*4,50 Cm  220 Cm</t>
  </si>
  <si>
    <t>151.09.0408</t>
  </si>
  <si>
    <t>Pvc Kap.Plastik Düz Pervaz 9*7,5 cm 220 cm</t>
  </si>
  <si>
    <t>151.11.0002</t>
  </si>
  <si>
    <t>Pvc Mdf Cam Çıtası 22 mm 2,2*280 cm</t>
  </si>
  <si>
    <t>151.11.0004</t>
  </si>
  <si>
    <t>Ham Mdf Cam Çıtası 22 mm 2,2*280 cm</t>
  </si>
  <si>
    <t>151.11.0006</t>
  </si>
  <si>
    <t>Ham Mdf Dekoratif Damaksız (Özel-2) 10 mm 5*280 cm</t>
  </si>
  <si>
    <t>151.11.0011</t>
  </si>
  <si>
    <t>Pvc Mdf Karolaj Çıtası 10 mm 3*280 cm</t>
  </si>
  <si>
    <t xml:space="preserve">İÇ ODA KAPI GRUBU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</si>
</sst>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4" formatCode="_-&quot;₺&quot;* #,##0.00_-;\-&quot;₺&quot;* #,##0.00_-;_-&quot;₺&quot;* &quot;-&quot;??_-;_-@_-"/>
    <numFmt numFmtId="164" formatCode="[$-F800]dddd\,\ mmmm\ dd\,\ yyyy"/>
  </numFmts>
  <fonts count="27" x14ac:knownFonts="1">
    <font>
      <sz val="11"/>
      <color theme="1"/>
      <name val="Calibri"/>
      <family val="2"/>
      <scheme val="minor"/>
    </font>
    <font>
      <sz val="11"/>
      <color theme="1"/>
      <name val="Calibri"/>
      <family val="2"/>
      <scheme val="minor"/>
    </font>
    <font>
      <sz val="11"/>
      <color rgb="FF000066"/>
      <name val="Times New Roman"/>
      <family val="1"/>
      <charset val="162"/>
    </font>
    <font>
      <sz val="11"/>
      <color theme="1"/>
      <name val="Times New Roman"/>
      <family val="1"/>
      <charset val="162"/>
    </font>
    <font>
      <i/>
      <sz val="11"/>
      <color rgb="FF000066"/>
      <name val="Times New Roman"/>
      <family val="1"/>
      <charset val="162"/>
    </font>
    <font>
      <b/>
      <sz val="14"/>
      <color rgb="FF000066"/>
      <name val="Times New Roman"/>
      <family val="1"/>
      <charset val="162"/>
    </font>
    <font>
      <sz val="12"/>
      <color theme="1"/>
      <name val="Times New Roman"/>
      <family val="1"/>
      <charset val="162"/>
    </font>
    <font>
      <sz val="14"/>
      <color theme="1"/>
      <name val="Times New Roman"/>
      <family val="1"/>
      <charset val="162"/>
    </font>
    <font>
      <b/>
      <sz val="14"/>
      <color theme="1"/>
      <name val="Times New Roman"/>
      <family val="1"/>
      <charset val="162"/>
    </font>
    <font>
      <b/>
      <sz val="16"/>
      <color theme="0"/>
      <name val="Times New Roman"/>
      <family val="1"/>
      <charset val="162"/>
    </font>
    <font>
      <sz val="12"/>
      <color rgb="FF000066"/>
      <name val="Times New Roman"/>
      <family val="1"/>
      <charset val="162"/>
    </font>
    <font>
      <sz val="12"/>
      <name val="Times New Roman"/>
      <family val="1"/>
      <charset val="162"/>
    </font>
    <font>
      <sz val="14"/>
      <name val="Times New Roman"/>
      <family val="1"/>
      <charset val="162"/>
    </font>
    <font>
      <b/>
      <i/>
      <sz val="14"/>
      <color rgb="FF000066"/>
      <name val="Times New Roman"/>
      <family val="1"/>
      <charset val="162"/>
    </font>
    <font>
      <b/>
      <sz val="12"/>
      <color theme="1"/>
      <name val="Times New Roman"/>
      <family val="1"/>
      <charset val="162"/>
    </font>
    <font>
      <b/>
      <sz val="18"/>
      <color theme="0"/>
      <name val="Times New Roman"/>
      <family val="1"/>
      <charset val="162"/>
    </font>
    <font>
      <i/>
      <sz val="12"/>
      <color rgb="FF000066"/>
      <name val="Times New Roman"/>
      <family val="1"/>
      <charset val="162"/>
    </font>
    <font>
      <i/>
      <sz val="14"/>
      <color rgb="FF000066"/>
      <name val="Times New Roman"/>
      <family val="1"/>
      <charset val="162"/>
    </font>
    <font>
      <b/>
      <sz val="16"/>
      <color rgb="FF000066"/>
      <name val="Times New Roman"/>
      <family val="1"/>
      <charset val="162"/>
    </font>
    <font>
      <sz val="13"/>
      <color theme="1"/>
      <name val="Times New Roman"/>
      <family val="1"/>
      <charset val="162"/>
    </font>
    <font>
      <sz val="13"/>
      <color rgb="FFFF0000"/>
      <name val="Times New Roman"/>
      <family val="1"/>
      <charset val="162"/>
    </font>
    <font>
      <sz val="26"/>
      <color rgb="FF002060"/>
      <name val="Times New Roman"/>
      <family val="1"/>
      <charset val="162"/>
    </font>
    <font>
      <b/>
      <i/>
      <sz val="12"/>
      <color rgb="FF000066"/>
      <name val="Times New Roman"/>
      <family val="1"/>
      <charset val="162"/>
    </font>
    <font>
      <sz val="16"/>
      <color rgb="FF000066"/>
      <name val="Times New Roman"/>
      <family val="1"/>
      <charset val="162"/>
    </font>
    <font>
      <sz val="14"/>
      <color rgb="FF000066"/>
      <name val="Times New Roman"/>
      <family val="1"/>
      <charset val="162"/>
    </font>
    <font>
      <b/>
      <i/>
      <sz val="13"/>
      <color rgb="FF000066"/>
      <name val="Times New Roman"/>
      <family val="1"/>
      <charset val="162"/>
    </font>
    <font>
      <b/>
      <sz val="18"/>
      <color rgb="FF000066"/>
      <name val="Times New Roman"/>
      <family val="1"/>
      <charset val="162"/>
    </font>
  </fonts>
  <fills count="3">
    <fill>
      <patternFill patternType="none"/>
    </fill>
    <fill>
      <patternFill patternType="gray125"/>
    </fill>
    <fill>
      <patternFill patternType="solid">
        <fgColor theme="8" tint="-0.499984740745262"/>
        <bgColor indexed="64"/>
      </patternFill>
    </fill>
  </fills>
  <borders count="30">
    <border>
      <left/>
      <right/>
      <top/>
      <bottom/>
      <diagonal/>
    </border>
    <border>
      <left/>
      <right style="medium">
        <color indexed="64"/>
      </right>
      <top/>
      <bottom/>
      <diagonal/>
    </border>
    <border>
      <left/>
      <right/>
      <top style="medium">
        <color indexed="64"/>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s>
  <cellStyleXfs count="2">
    <xf numFmtId="0" fontId="0" fillId="0" borderId="0"/>
    <xf numFmtId="44" fontId="1" fillId="0" borderId="0" applyFont="0" applyFill="0" applyBorder="0" applyAlignment="0" applyProtection="0"/>
  </cellStyleXfs>
  <cellXfs count="135">
    <xf numFmtId="0" fontId="0" fillId="0" borderId="0" xfId="0"/>
    <xf numFmtId="0" fontId="0" fillId="0" borderId="0" xfId="0" applyProtection="1">
      <protection locked="0"/>
    </xf>
    <xf numFmtId="0" fontId="21" fillId="0" borderId="0" xfId="0" applyFont="1" applyAlignment="1" applyProtection="1">
      <alignment vertical="center" wrapText="1"/>
      <protection locked="0"/>
    </xf>
    <xf numFmtId="0" fontId="19" fillId="0" borderId="24" xfId="0" applyFont="1" applyBorder="1" applyAlignment="1" applyProtection="1">
      <alignment vertical="center"/>
      <protection locked="0"/>
    </xf>
    <xf numFmtId="0" fontId="19" fillId="0" borderId="12" xfId="0" applyFont="1" applyBorder="1" applyAlignment="1" applyProtection="1">
      <alignment vertical="center"/>
      <protection locked="0"/>
    </xf>
    <xf numFmtId="0" fontId="19" fillId="0" borderId="25" xfId="0" applyFont="1" applyBorder="1" applyAlignment="1" applyProtection="1">
      <alignment vertical="center"/>
      <protection locked="0"/>
    </xf>
    <xf numFmtId="0" fontId="19" fillId="0" borderId="16" xfId="0" applyFont="1" applyBorder="1" applyAlignment="1" applyProtection="1">
      <alignment vertical="center"/>
      <protection locked="0"/>
    </xf>
    <xf numFmtId="0" fontId="19" fillId="0" borderId="17" xfId="0" applyFont="1" applyBorder="1" applyAlignment="1" applyProtection="1">
      <alignment vertical="center"/>
      <protection locked="0"/>
    </xf>
    <xf numFmtId="0" fontId="3" fillId="0" borderId="0" xfId="0" applyFont="1" applyProtection="1">
      <protection locked="0"/>
    </xf>
    <xf numFmtId="0" fontId="5" fillId="0" borderId="7" xfId="0"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2" fillId="0" borderId="7" xfId="0" applyFont="1" applyBorder="1" applyAlignment="1" applyProtection="1">
      <alignment horizontal="center" vertical="center"/>
      <protection locked="0"/>
    </xf>
    <xf numFmtId="0" fontId="11" fillId="0" borderId="7" xfId="0" applyFont="1" applyBorder="1" applyProtection="1">
      <protection locked="0"/>
    </xf>
    <xf numFmtId="0" fontId="11" fillId="0" borderId="7" xfId="0" applyFont="1" applyBorder="1" applyAlignment="1" applyProtection="1">
      <alignment horizontal="center"/>
      <protection locked="0"/>
    </xf>
    <xf numFmtId="0" fontId="4" fillId="0" borderId="0" xfId="0" applyFont="1" applyProtection="1">
      <protection locked="0"/>
    </xf>
    <xf numFmtId="0" fontId="13" fillId="0" borderId="0" xfId="0" applyFont="1" applyBorder="1" applyAlignment="1" applyProtection="1">
      <alignment horizontal="right"/>
      <protection locked="0"/>
    </xf>
    <xf numFmtId="44" fontId="14" fillId="0" borderId="0" xfId="1" applyFont="1" applyBorder="1" applyProtection="1">
      <protection locked="0"/>
    </xf>
    <xf numFmtId="44" fontId="8" fillId="0" borderId="0" xfId="1" applyFont="1" applyBorder="1" applyProtection="1">
      <protection locked="0"/>
    </xf>
    <xf numFmtId="0" fontId="17" fillId="0" borderId="0" xfId="0" applyFont="1" applyProtection="1">
      <protection locked="0"/>
    </xf>
    <xf numFmtId="0" fontId="13" fillId="0" borderId="7" xfId="0" applyFont="1" applyBorder="1" applyAlignment="1" applyProtection="1">
      <alignment horizontal="right"/>
    </xf>
    <xf numFmtId="0" fontId="12" fillId="0" borderId="7" xfId="0" applyNumberFormat="1" applyFont="1" applyBorder="1" applyAlignment="1" applyProtection="1">
      <alignment horizontal="center" vertical="center"/>
      <protection locked="0"/>
    </xf>
    <xf numFmtId="0" fontId="0" fillId="0" borderId="0" xfId="0" applyBorder="1" applyProtection="1"/>
    <xf numFmtId="0" fontId="5" fillId="0" borderId="4" xfId="0" applyFont="1" applyBorder="1" applyAlignment="1" applyProtection="1">
      <alignment horizontal="center" vertical="center"/>
    </xf>
    <xf numFmtId="0" fontId="5" fillId="0" borderId="10" xfId="0" applyFont="1" applyBorder="1" applyAlignment="1" applyProtection="1">
      <alignment horizontal="center" vertical="center"/>
    </xf>
    <xf numFmtId="0" fontId="5" fillId="0" borderId="7" xfId="0" applyFont="1" applyBorder="1" applyAlignment="1" applyProtection="1">
      <alignment horizontal="center" vertical="center"/>
    </xf>
    <xf numFmtId="0" fontId="10" fillId="0" borderId="7" xfId="0" applyFont="1" applyBorder="1" applyAlignment="1" applyProtection="1">
      <alignment horizontal="center" vertical="center"/>
    </xf>
    <xf numFmtId="0" fontId="10" fillId="0" borderId="0" xfId="0" applyFont="1" applyAlignment="1" applyProtection="1"/>
    <xf numFmtId="0" fontId="4" fillId="0" borderId="0" xfId="0" applyFont="1" applyProtection="1"/>
    <xf numFmtId="0" fontId="0" fillId="0" borderId="0" xfId="0" applyProtection="1"/>
    <xf numFmtId="44" fontId="8" fillId="0" borderId="0" xfId="1" applyFont="1" applyBorder="1" applyProtection="1"/>
    <xf numFmtId="0" fontId="10" fillId="0" borderId="4" xfId="0" applyFont="1" applyBorder="1" applyProtection="1"/>
    <xf numFmtId="0" fontId="10" fillId="0" borderId="5" xfId="0" applyFont="1" applyBorder="1" applyProtection="1"/>
    <xf numFmtId="0" fontId="13" fillId="0" borderId="0" xfId="0" applyFont="1" applyBorder="1" applyAlignment="1" applyProtection="1">
      <alignment horizontal="right"/>
    </xf>
    <xf numFmtId="44" fontId="12" fillId="0" borderId="7" xfId="1" applyFont="1" applyBorder="1" applyProtection="1"/>
    <xf numFmtId="44" fontId="7" fillId="0" borderId="7" xfId="1" applyFont="1" applyBorder="1" applyProtection="1"/>
    <xf numFmtId="44" fontId="8" fillId="0" borderId="7" xfId="1" applyFont="1" applyBorder="1" applyProtection="1"/>
    <xf numFmtId="44" fontId="6" fillId="0" borderId="7" xfId="1" applyFont="1" applyBorder="1" applyProtection="1"/>
    <xf numFmtId="44" fontId="12" fillId="0" borderId="7" xfId="1" applyFont="1" applyBorder="1" applyAlignment="1" applyProtection="1">
      <alignment horizontal="center" vertical="center"/>
    </xf>
    <xf numFmtId="0" fontId="12" fillId="0" borderId="7" xfId="0" applyFont="1" applyBorder="1" applyAlignment="1" applyProtection="1">
      <alignment horizontal="left" vertical="center"/>
    </xf>
    <xf numFmtId="164" fontId="5" fillId="0" borderId="10" xfId="0" applyNumberFormat="1" applyFont="1" applyBorder="1" applyAlignment="1" applyProtection="1">
      <alignment horizontal="center" vertical="center"/>
    </xf>
    <xf numFmtId="0" fontId="16" fillId="0" borderId="6" xfId="0" applyFont="1" applyBorder="1" applyAlignment="1" applyProtection="1">
      <alignment horizontal="center"/>
    </xf>
    <xf numFmtId="0" fontId="16" fillId="0" borderId="11" xfId="0" applyFont="1" applyBorder="1" applyAlignment="1" applyProtection="1">
      <alignment horizontal="center"/>
    </xf>
    <xf numFmtId="0" fontId="19" fillId="0" borderId="16" xfId="0" applyFont="1" applyBorder="1" applyAlignment="1" applyProtection="1">
      <alignment horizontal="center" vertical="center"/>
      <protection locked="0"/>
    </xf>
    <xf numFmtId="0" fontId="5" fillId="0" borderId="8" xfId="0" applyFont="1" applyBorder="1" applyAlignment="1" applyProtection="1">
      <alignment horizontal="center" vertical="center"/>
    </xf>
    <xf numFmtId="0" fontId="5" fillId="0" borderId="0" xfId="0" applyFont="1" applyBorder="1" applyAlignment="1" applyProtection="1">
      <alignment horizontal="center" vertical="center"/>
      <protection locked="0"/>
    </xf>
    <xf numFmtId="3" fontId="11" fillId="0" borderId="7" xfId="0" applyNumberFormat="1" applyFont="1" applyBorder="1" applyAlignment="1" applyProtection="1">
      <alignment horizontal="center" vertical="center"/>
      <protection locked="0"/>
    </xf>
    <xf numFmtId="0" fontId="21" fillId="0" borderId="0" xfId="0" applyFont="1" applyAlignment="1" applyProtection="1">
      <alignment horizontal="center" vertical="center" wrapText="1"/>
      <protection locked="0"/>
    </xf>
    <xf numFmtId="44" fontId="14" fillId="0" borderId="0" xfId="1" applyFont="1" applyBorder="1" applyProtection="1"/>
    <xf numFmtId="0" fontId="23" fillId="0" borderId="28" xfId="0" applyFont="1" applyBorder="1" applyAlignment="1" applyProtection="1">
      <alignment horizontal="center" vertical="center"/>
    </xf>
    <xf numFmtId="0" fontId="23" fillId="0" borderId="26" xfId="0" applyFont="1" applyBorder="1" applyAlignment="1" applyProtection="1">
      <alignment horizontal="center" vertical="center"/>
    </xf>
    <xf numFmtId="0" fontId="23" fillId="0" borderId="27" xfId="0" applyFont="1" applyBorder="1" applyAlignment="1" applyProtection="1">
      <alignment horizontal="center" vertical="center"/>
    </xf>
    <xf numFmtId="0" fontId="24" fillId="0" borderId="1" xfId="0" applyFont="1" applyBorder="1" applyProtection="1">
      <protection locked="0"/>
    </xf>
    <xf numFmtId="0" fontId="24" fillId="0" borderId="11" xfId="0" applyFont="1" applyBorder="1" applyProtection="1">
      <protection locked="0"/>
    </xf>
    <xf numFmtId="0" fontId="3" fillId="0" borderId="0" xfId="0" applyFont="1" applyProtection="1"/>
    <xf numFmtId="44" fontId="13" fillId="0" borderId="29" xfId="0" applyNumberFormat="1" applyFont="1" applyBorder="1" applyAlignment="1" applyProtection="1">
      <alignment horizontal="right"/>
    </xf>
    <xf numFmtId="44" fontId="13" fillId="0" borderId="27" xfId="0" applyNumberFormat="1" applyFont="1" applyBorder="1" applyAlignment="1" applyProtection="1">
      <alignment horizontal="right"/>
    </xf>
    <xf numFmtId="0" fontId="4" fillId="0" borderId="0" xfId="0" applyFont="1" applyAlignment="1" applyProtection="1">
      <protection locked="0"/>
    </xf>
    <xf numFmtId="0" fontId="16" fillId="0" borderId="0" xfId="0" applyFont="1" applyProtection="1"/>
    <xf numFmtId="0" fontId="2" fillId="0" borderId="0" xfId="0" applyFont="1" applyProtection="1"/>
    <xf numFmtId="0" fontId="5" fillId="0" borderId="26" xfId="0" applyFont="1" applyBorder="1" applyAlignment="1" applyProtection="1">
      <alignment horizontal="center" vertical="center"/>
    </xf>
    <xf numFmtId="0" fontId="5" fillId="0" borderId="27" xfId="0" applyFont="1" applyBorder="1" applyAlignment="1" applyProtection="1">
      <alignment horizontal="center" vertical="center"/>
    </xf>
    <xf numFmtId="0" fontId="19" fillId="0" borderId="15" xfId="0" applyFont="1" applyBorder="1" applyAlignment="1" applyProtection="1">
      <alignment vertical="center"/>
    </xf>
    <xf numFmtId="0" fontId="13" fillId="0" borderId="0" xfId="0" applyFont="1" applyProtection="1">
      <protection locked="0"/>
    </xf>
    <xf numFmtId="0" fontId="16" fillId="0" borderId="1" xfId="0" applyFont="1" applyBorder="1" applyProtection="1"/>
    <xf numFmtId="0" fontId="16" fillId="0" borderId="11" xfId="0" applyFont="1" applyBorder="1" applyProtection="1"/>
    <xf numFmtId="0" fontId="16" fillId="0" borderId="5" xfId="0" applyFont="1" applyBorder="1" applyAlignment="1" applyProtection="1">
      <alignment horizontal="center"/>
    </xf>
    <xf numFmtId="0" fontId="9" fillId="2" borderId="0" xfId="0" applyFont="1" applyFill="1" applyBorder="1" applyAlignment="1" applyProtection="1">
      <alignment horizontal="center" vertical="center"/>
    </xf>
    <xf numFmtId="0" fontId="9" fillId="2" borderId="1" xfId="0" applyFont="1" applyFill="1" applyBorder="1" applyAlignment="1" applyProtection="1">
      <alignment horizontal="center" vertical="center"/>
    </xf>
    <xf numFmtId="0" fontId="21" fillId="0" borderId="0" xfId="0" applyFont="1" applyAlignment="1" applyProtection="1">
      <alignment horizontal="center" vertical="center" wrapText="1"/>
      <protection locked="0"/>
    </xf>
    <xf numFmtId="0" fontId="5" fillId="0" borderId="8" xfId="0" applyFont="1" applyBorder="1" applyAlignment="1" applyProtection="1">
      <alignment horizontal="center" vertical="center"/>
    </xf>
    <xf numFmtId="0" fontId="5" fillId="0" borderId="14" xfId="0" applyFont="1" applyBorder="1" applyAlignment="1" applyProtection="1">
      <alignment horizontal="center" vertical="center"/>
    </xf>
    <xf numFmtId="0" fontId="5" fillId="0" borderId="9" xfId="0" applyFont="1" applyBorder="1" applyAlignment="1" applyProtection="1">
      <alignment horizontal="center" vertical="center"/>
    </xf>
    <xf numFmtId="0" fontId="5" fillId="0" borderId="3" xfId="0" applyFont="1" applyBorder="1" applyAlignment="1" applyProtection="1">
      <alignment horizontal="center" vertical="center"/>
      <protection locked="0"/>
    </xf>
    <xf numFmtId="0" fontId="5" fillId="0" borderId="13" xfId="0" applyFont="1" applyBorder="1" applyAlignment="1" applyProtection="1">
      <alignment horizontal="center" vertical="center"/>
      <protection locked="0"/>
    </xf>
    <xf numFmtId="0" fontId="5" fillId="0" borderId="2" xfId="0" applyFont="1" applyBorder="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5" fillId="0" borderId="5"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0" fontId="22" fillId="0" borderId="0" xfId="0" applyFont="1" applyAlignment="1" applyProtection="1">
      <alignment horizontal="left" vertical="center"/>
    </xf>
    <xf numFmtId="0" fontId="15" fillId="2" borderId="0" xfId="0" applyFont="1" applyFill="1" applyBorder="1" applyAlignment="1" applyProtection="1">
      <alignment horizontal="center" vertical="center"/>
    </xf>
    <xf numFmtId="0" fontId="15" fillId="2" borderId="1" xfId="0" applyFont="1" applyFill="1" applyBorder="1" applyAlignment="1" applyProtection="1">
      <alignment horizontal="center" vertical="center"/>
    </xf>
    <xf numFmtId="0" fontId="5" fillId="0" borderId="6" xfId="0" applyFont="1" applyBorder="1" applyAlignment="1" applyProtection="1">
      <alignment horizontal="center" vertical="center"/>
      <protection locked="0"/>
    </xf>
    <xf numFmtId="0" fontId="5" fillId="0" borderId="2" xfId="0" applyFont="1" applyBorder="1" applyAlignment="1" applyProtection="1">
      <alignment horizontal="center" vertical="center"/>
    </xf>
    <xf numFmtId="0" fontId="5" fillId="0" borderId="13" xfId="0" applyFont="1" applyBorder="1" applyAlignment="1" applyProtection="1">
      <alignment horizontal="center" vertical="center"/>
    </xf>
    <xf numFmtId="0" fontId="19" fillId="0" borderId="3" xfId="0" applyFont="1" applyBorder="1" applyAlignment="1" applyProtection="1">
      <alignment horizontal="left"/>
      <protection locked="0"/>
    </xf>
    <xf numFmtId="0" fontId="19" fillId="0" borderId="2" xfId="0" applyFont="1" applyBorder="1" applyAlignment="1" applyProtection="1">
      <alignment horizontal="left"/>
      <protection locked="0"/>
    </xf>
    <xf numFmtId="0" fontId="19" fillId="0" borderId="13" xfId="0" applyFont="1" applyBorder="1" applyAlignment="1" applyProtection="1">
      <alignment horizontal="left"/>
      <protection locked="0"/>
    </xf>
    <xf numFmtId="0" fontId="19" fillId="0" borderId="4" xfId="0" applyFont="1" applyBorder="1" applyAlignment="1" applyProtection="1">
      <alignment horizontal="left"/>
      <protection locked="0"/>
    </xf>
    <xf numFmtId="0" fontId="19" fillId="0" borderId="0" xfId="0" applyFont="1" applyBorder="1" applyAlignment="1" applyProtection="1">
      <alignment horizontal="left"/>
      <protection locked="0"/>
    </xf>
    <xf numFmtId="0" fontId="19" fillId="0" borderId="1" xfId="0" applyFont="1" applyBorder="1" applyAlignment="1" applyProtection="1">
      <alignment horizontal="left"/>
      <protection locked="0"/>
    </xf>
    <xf numFmtId="0" fontId="20" fillId="0" borderId="4" xfId="0" applyFont="1" applyBorder="1" applyAlignment="1" applyProtection="1">
      <alignment horizontal="left"/>
      <protection locked="0"/>
    </xf>
    <xf numFmtId="0" fontId="20" fillId="0" borderId="0" xfId="0" applyFont="1" applyBorder="1" applyAlignment="1" applyProtection="1">
      <alignment horizontal="left"/>
      <protection locked="0"/>
    </xf>
    <xf numFmtId="0" fontId="20" fillId="0" borderId="1" xfId="0" applyFont="1" applyBorder="1" applyAlignment="1" applyProtection="1">
      <alignment horizontal="left"/>
      <protection locked="0"/>
    </xf>
    <xf numFmtId="0" fontId="19" fillId="0" borderId="21" xfId="0" applyFont="1" applyBorder="1" applyAlignment="1" applyProtection="1">
      <alignment horizontal="center" vertical="center"/>
    </xf>
    <xf numFmtId="0" fontId="19" fillId="0" borderId="22" xfId="0" applyFont="1" applyBorder="1" applyAlignment="1" applyProtection="1">
      <alignment horizontal="center" vertical="center"/>
    </xf>
    <xf numFmtId="0" fontId="19" fillId="0" borderId="23" xfId="0" applyFont="1" applyBorder="1" applyAlignment="1" applyProtection="1">
      <alignment horizontal="center" vertical="center"/>
    </xf>
    <xf numFmtId="0" fontId="19" fillId="0" borderId="12" xfId="0" applyFont="1" applyBorder="1" applyAlignment="1" applyProtection="1">
      <alignment horizontal="left" vertical="center"/>
      <protection locked="0"/>
    </xf>
    <xf numFmtId="0" fontId="19" fillId="0" borderId="18" xfId="0" applyFont="1" applyBorder="1" applyAlignment="1" applyProtection="1">
      <alignment horizontal="left" vertical="center"/>
      <protection locked="0"/>
    </xf>
    <xf numFmtId="0" fontId="19" fillId="0" borderId="19" xfId="0" applyFont="1" applyBorder="1" applyAlignment="1" applyProtection="1">
      <alignment horizontal="left" vertical="center"/>
      <protection locked="0"/>
    </xf>
    <xf numFmtId="0" fontId="19" fillId="0" borderId="20" xfId="0" applyFont="1" applyBorder="1" applyAlignment="1" applyProtection="1">
      <alignment horizontal="left" vertical="center"/>
      <protection locked="0"/>
    </xf>
    <xf numFmtId="0" fontId="5" fillId="0" borderId="3" xfId="0" applyFont="1" applyBorder="1" applyAlignment="1" applyProtection="1">
      <alignment horizontal="center" vertical="center"/>
    </xf>
    <xf numFmtId="0" fontId="5" fillId="0" borderId="4" xfId="0" applyFont="1" applyBorder="1" applyAlignment="1" applyProtection="1">
      <alignment horizontal="center" vertical="center"/>
    </xf>
    <xf numFmtId="0" fontId="5" fillId="0" borderId="0" xfId="0" applyFont="1" applyBorder="1" applyAlignment="1" applyProtection="1">
      <alignment horizontal="center" vertical="center"/>
    </xf>
    <xf numFmtId="0" fontId="5" fillId="0" borderId="1" xfId="0" applyFont="1" applyBorder="1" applyAlignment="1" applyProtection="1">
      <alignment horizontal="center" vertical="center"/>
    </xf>
    <xf numFmtId="0" fontId="5" fillId="0" borderId="5" xfId="0" applyFont="1" applyBorder="1" applyAlignment="1" applyProtection="1">
      <alignment horizontal="center" vertical="center"/>
    </xf>
    <xf numFmtId="0" fontId="5" fillId="0" borderId="6" xfId="0" applyFont="1" applyBorder="1" applyAlignment="1" applyProtection="1">
      <alignment horizontal="center" vertical="center"/>
    </xf>
    <xf numFmtId="0" fontId="5" fillId="0" borderId="11" xfId="0" applyFont="1" applyBorder="1" applyAlignment="1" applyProtection="1">
      <alignment horizontal="center" vertical="center"/>
    </xf>
    <xf numFmtId="0" fontId="19" fillId="0" borderId="5" xfId="0" applyFont="1" applyBorder="1" applyAlignment="1" applyProtection="1">
      <alignment horizontal="left"/>
      <protection locked="0"/>
    </xf>
    <xf numFmtId="0" fontId="19" fillId="0" borderId="6" xfId="0" applyFont="1" applyBorder="1" applyAlignment="1" applyProtection="1">
      <alignment horizontal="left"/>
      <protection locked="0"/>
    </xf>
    <xf numFmtId="0" fontId="19" fillId="0" borderId="11" xfId="0" applyFont="1" applyBorder="1" applyAlignment="1" applyProtection="1">
      <alignment horizontal="left"/>
      <protection locked="0"/>
    </xf>
    <xf numFmtId="0" fontId="18" fillId="0" borderId="8" xfId="0" applyFont="1" applyBorder="1" applyAlignment="1" applyProtection="1">
      <alignment horizontal="center" vertical="center"/>
    </xf>
    <xf numFmtId="0" fontId="18" fillId="0" borderId="9" xfId="0" applyFont="1" applyBorder="1" applyAlignment="1" applyProtection="1">
      <alignment horizontal="center" vertical="center"/>
    </xf>
    <xf numFmtId="0" fontId="18" fillId="0" borderId="14" xfId="0" applyFont="1" applyBorder="1" applyAlignment="1" applyProtection="1">
      <alignment horizontal="center" vertical="center"/>
    </xf>
    <xf numFmtId="0" fontId="18" fillId="0" borderId="3" xfId="0" applyFont="1" applyBorder="1" applyAlignment="1" applyProtection="1">
      <alignment horizontal="center" vertical="center"/>
    </xf>
    <xf numFmtId="0" fontId="18" fillId="0" borderId="13" xfId="0" applyFont="1" applyBorder="1" applyAlignment="1" applyProtection="1">
      <alignment horizontal="center" vertical="center"/>
    </xf>
    <xf numFmtId="0" fontId="10" fillId="0" borderId="0" xfId="0" applyFont="1" applyAlignment="1" applyProtection="1">
      <alignment horizontal="left" wrapText="1"/>
    </xf>
    <xf numFmtId="0" fontId="25" fillId="0" borderId="21" xfId="0" applyFont="1" applyBorder="1" applyAlignment="1" applyProtection="1">
      <alignment horizontal="center"/>
    </xf>
    <xf numFmtId="0" fontId="25" fillId="0" borderId="23" xfId="0" applyFont="1" applyBorder="1" applyAlignment="1" applyProtection="1">
      <alignment horizontal="center"/>
    </xf>
    <xf numFmtId="0" fontId="13" fillId="0" borderId="5" xfId="0" applyFont="1" applyBorder="1" applyAlignment="1" applyProtection="1">
      <alignment horizontal="center"/>
    </xf>
    <xf numFmtId="0" fontId="13" fillId="0" borderId="11" xfId="0" applyFont="1" applyBorder="1" applyAlignment="1" applyProtection="1">
      <alignment horizontal="center"/>
    </xf>
    <xf numFmtId="0" fontId="5" fillId="0" borderId="14" xfId="0" applyFont="1" applyBorder="1" applyAlignment="1" applyProtection="1">
      <alignment horizontal="center" vertical="center"/>
      <protection locked="0"/>
    </xf>
    <xf numFmtId="0" fontId="4" fillId="0" borderId="0" xfId="0" applyFont="1" applyAlignment="1" applyProtection="1">
      <alignment horizontal="center"/>
    </xf>
    <xf numFmtId="0" fontId="0" fillId="0" borderId="0" xfId="0" applyAlignment="1" applyProtection="1">
      <alignment horizontal="center"/>
    </xf>
    <xf numFmtId="0" fontId="26" fillId="0" borderId="0" xfId="0" applyFont="1" applyAlignment="1" applyProtection="1">
      <alignment horizontal="left"/>
    </xf>
    <xf numFmtId="0" fontId="10" fillId="0" borderId="0" xfId="0" applyFont="1" applyAlignment="1" applyProtection="1">
      <alignment horizontal="left"/>
      <protection locked="0"/>
    </xf>
    <xf numFmtId="0" fontId="18" fillId="0" borderId="2" xfId="0" applyFont="1" applyBorder="1" applyAlignment="1" applyProtection="1">
      <alignment horizontal="center" vertical="center"/>
    </xf>
    <xf numFmtId="0" fontId="10" fillId="0" borderId="4" xfId="0" applyFont="1" applyBorder="1" applyAlignment="1" applyProtection="1">
      <alignment horizontal="left" vertical="center"/>
    </xf>
    <xf numFmtId="0" fontId="10" fillId="0" borderId="0" xfId="0" applyFont="1" applyBorder="1" applyAlignment="1" applyProtection="1">
      <alignment horizontal="left" vertical="center"/>
    </xf>
    <xf numFmtId="0" fontId="10" fillId="0" borderId="1" xfId="0" applyFont="1" applyBorder="1" applyAlignment="1" applyProtection="1">
      <alignment horizontal="left" vertical="center"/>
    </xf>
    <xf numFmtId="0" fontId="10" fillId="0" borderId="4" xfId="0" applyFont="1" applyBorder="1" applyAlignment="1" applyProtection="1">
      <alignment horizontal="center"/>
    </xf>
    <xf numFmtId="0" fontId="10" fillId="0" borderId="0" xfId="0" applyFont="1" applyBorder="1" applyAlignment="1" applyProtection="1">
      <alignment horizontal="center"/>
    </xf>
    <xf numFmtId="0" fontId="10" fillId="0" borderId="1" xfId="0" applyFont="1" applyBorder="1" applyAlignment="1" applyProtection="1">
      <alignment horizontal="center"/>
    </xf>
    <xf numFmtId="44" fontId="0" fillId="0" borderId="0" xfId="1" applyFont="1"/>
  </cellXfs>
  <cellStyles count="2">
    <cellStyle name="Normal" xfId="0" builtinId="0"/>
    <cellStyle name="ParaBirimi" xfId="1" builtin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168890</xdr:colOff>
      <xdr:row>0</xdr:row>
      <xdr:rowOff>115260</xdr:rowOff>
    </xdr:from>
    <xdr:to>
      <xdr:col>3</xdr:col>
      <xdr:colOff>693966</xdr:colOff>
      <xdr:row>9</xdr:row>
      <xdr:rowOff>58266</xdr:rowOff>
    </xdr:to>
    <xdr:pic>
      <xdr:nvPicPr>
        <xdr:cNvPr id="2" name="Resim 1"/>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972" t="16371" b="28205"/>
        <a:stretch/>
      </xdr:blipFill>
      <xdr:spPr>
        <a:xfrm>
          <a:off x="264140" y="115260"/>
          <a:ext cx="2933540" cy="1657506"/>
        </a:xfrm>
        <a:prstGeom prst="rect">
          <a:avLst/>
        </a:prstGeom>
      </xdr:spPr>
    </xdr:pic>
    <xdr:clientData/>
  </xdr:twoCellAnchor>
  <xdr:twoCellAnchor editAs="oneCell">
    <xdr:from>
      <xdr:col>11</xdr:col>
      <xdr:colOff>304960</xdr:colOff>
      <xdr:row>0</xdr:row>
      <xdr:rowOff>155280</xdr:rowOff>
    </xdr:from>
    <xdr:to>
      <xdr:col>12</xdr:col>
      <xdr:colOff>2192203</xdr:colOff>
      <xdr:row>10</xdr:row>
      <xdr:rowOff>26631</xdr:rowOff>
    </xdr:to>
    <xdr:pic>
      <xdr:nvPicPr>
        <xdr:cNvPr id="3" name="Resim 2"/>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59" t="20957" r="9571" b="18567"/>
        <a:stretch/>
      </xdr:blipFill>
      <xdr:spPr>
        <a:xfrm>
          <a:off x="16279746" y="155280"/>
          <a:ext cx="4037171" cy="1776351"/>
        </a:xfrm>
        <a:prstGeom prst="rect">
          <a:avLst/>
        </a:prstGeom>
      </xdr:spPr>
    </xdr:pic>
    <xdr:clientData/>
  </xdr:twoCellAnchor>
  <xdr:twoCellAnchor editAs="oneCell">
    <xdr:from>
      <xdr:col>2</xdr:col>
      <xdr:colOff>1455964</xdr:colOff>
      <xdr:row>95</xdr:row>
      <xdr:rowOff>108857</xdr:rowOff>
    </xdr:from>
    <xdr:to>
      <xdr:col>12</xdr:col>
      <xdr:colOff>40822</xdr:colOff>
      <xdr:row>99</xdr:row>
      <xdr:rowOff>93609</xdr:rowOff>
    </xdr:to>
    <xdr:pic>
      <xdr:nvPicPr>
        <xdr:cNvPr id="4" name="Resim 3"/>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71298"/>
        <a:stretch/>
      </xdr:blipFill>
      <xdr:spPr>
        <a:xfrm>
          <a:off x="1918607" y="30275893"/>
          <a:ext cx="16246929" cy="1345466"/>
        </a:xfrm>
        <a:prstGeom prst="rect">
          <a:avLst/>
        </a:prstGeom>
      </xdr:spPr>
    </xdr:pic>
    <xdr:clientData/>
  </xdr:twoCellAnchor>
  <xdr:oneCellAnchor>
    <xdr:from>
      <xdr:col>3</xdr:col>
      <xdr:colOff>2231572</xdr:colOff>
      <xdr:row>17</xdr:row>
      <xdr:rowOff>68035</xdr:rowOff>
    </xdr:from>
    <xdr:ext cx="184731" cy="264560"/>
    <xdr:sp macro="" textlink="">
      <xdr:nvSpPr>
        <xdr:cNvPr id="5" name="Metin kutusu 4"/>
        <xdr:cNvSpPr txBox="1"/>
      </xdr:nvSpPr>
      <xdr:spPr>
        <a:xfrm>
          <a:off x="4736647" y="422093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tr-TR" sz="1100"/>
        </a:p>
      </xdr:txBody>
    </xdr:sp>
    <xdr:clientData/>
  </xdr:oneCellAnchor>
  <xdr:oneCellAnchor>
    <xdr:from>
      <xdr:col>13</xdr:col>
      <xdr:colOff>0</xdr:colOff>
      <xdr:row>15</xdr:row>
      <xdr:rowOff>13607</xdr:rowOff>
    </xdr:from>
    <xdr:ext cx="184731" cy="264560"/>
    <xdr:sp macro="" textlink="">
      <xdr:nvSpPr>
        <xdr:cNvPr id="6" name="Metin kutusu 5"/>
        <xdr:cNvSpPr txBox="1"/>
      </xdr:nvSpPr>
      <xdr:spPr>
        <a:xfrm>
          <a:off x="16716375" y="34807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tr-TR" sz="1100"/>
        </a:p>
      </xdr:txBody>
    </xdr:sp>
    <xdr:clientData/>
  </xdr:oneCellAnchor>
  <mc:AlternateContent xmlns:mc="http://schemas.openxmlformats.org/markup-compatibility/2006">
    <mc:Choice xmlns:a14="http://schemas.microsoft.com/office/drawing/2010/main" Requires="a14">
      <xdr:twoCellAnchor editAs="oneCell">
        <xdr:from>
          <xdr:col>2</xdr:col>
          <xdr:colOff>600075</xdr:colOff>
          <xdr:row>15</xdr:row>
          <xdr:rowOff>38100</xdr:rowOff>
        </xdr:from>
        <xdr:to>
          <xdr:col>3</xdr:col>
          <xdr:colOff>3743325</xdr:colOff>
          <xdr:row>18</xdr:row>
          <xdr:rowOff>314325</xdr:rowOff>
        </xdr:to>
        <xdr:sp macro="" textlink="">
          <xdr:nvSpPr>
            <xdr:cNvPr id="30721" name="Check Box 1" hidden="1">
              <a:extLst>
                <a:ext uri="{63B3BB69-23CF-44E3-9099-C40C66FF867C}">
                  <a14:compatExt spid="_x0000_s307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15</xdr:row>
          <xdr:rowOff>57150</xdr:rowOff>
        </xdr:from>
        <xdr:to>
          <xdr:col>12</xdr:col>
          <xdr:colOff>2419350</xdr:colOff>
          <xdr:row>18</xdr:row>
          <xdr:rowOff>276225</xdr:rowOff>
        </xdr:to>
        <xdr:sp macro="" textlink="">
          <xdr:nvSpPr>
            <xdr:cNvPr id="30722" name="Check Box 2" hidden="1">
              <a:extLst>
                <a:ext uri="{63B3BB69-23CF-44E3-9099-C40C66FF867C}">
                  <a14:compatExt spid="_x0000_s307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29</xdr:row>
          <xdr:rowOff>314325</xdr:rowOff>
        </xdr:from>
        <xdr:to>
          <xdr:col>3</xdr:col>
          <xdr:colOff>3009900</xdr:colOff>
          <xdr:row>30</xdr:row>
          <xdr:rowOff>314325</xdr:rowOff>
        </xdr:to>
        <xdr:sp macro="" textlink="">
          <xdr:nvSpPr>
            <xdr:cNvPr id="30723" name="Check Box 3" hidden="1">
              <a:extLst>
                <a:ext uri="{63B3BB69-23CF-44E3-9099-C40C66FF867C}">
                  <a14:compatExt spid="_x0000_s307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3838575</xdr:colOff>
          <xdr:row>29</xdr:row>
          <xdr:rowOff>323850</xdr:rowOff>
        </xdr:from>
        <xdr:to>
          <xdr:col>5</xdr:col>
          <xdr:colOff>609600</xdr:colOff>
          <xdr:row>30</xdr:row>
          <xdr:rowOff>323850</xdr:rowOff>
        </xdr:to>
        <xdr:sp macro="" textlink="">
          <xdr:nvSpPr>
            <xdr:cNvPr id="30724" name="Check Box 4" hidden="1">
              <a:extLst>
                <a:ext uri="{63B3BB69-23CF-44E3-9099-C40C66FF867C}">
                  <a14:compatExt spid="_x0000_s307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1352550</xdr:colOff>
          <xdr:row>29</xdr:row>
          <xdr:rowOff>333375</xdr:rowOff>
        </xdr:from>
        <xdr:to>
          <xdr:col>7</xdr:col>
          <xdr:colOff>114300</xdr:colOff>
          <xdr:row>31</xdr:row>
          <xdr:rowOff>0</xdr:rowOff>
        </xdr:to>
        <xdr:sp macro="" textlink="">
          <xdr:nvSpPr>
            <xdr:cNvPr id="30725" name="Check Box 5" hidden="1">
              <a:extLst>
                <a:ext uri="{63B3BB69-23CF-44E3-9099-C40C66FF867C}">
                  <a14:compatExt spid="_x0000_s307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1104900</xdr:colOff>
          <xdr:row>30</xdr:row>
          <xdr:rowOff>19050</xdr:rowOff>
        </xdr:from>
        <xdr:to>
          <xdr:col>9</xdr:col>
          <xdr:colOff>133350</xdr:colOff>
          <xdr:row>30</xdr:row>
          <xdr:rowOff>314325</xdr:rowOff>
        </xdr:to>
        <xdr:sp macro="" textlink="">
          <xdr:nvSpPr>
            <xdr:cNvPr id="30726" name="Check Box 6" hidden="1">
              <a:extLst>
                <a:ext uri="{63B3BB69-23CF-44E3-9099-C40C66FF867C}">
                  <a14:compatExt spid="_x0000_s307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30</xdr:row>
          <xdr:rowOff>323850</xdr:rowOff>
        </xdr:from>
        <xdr:to>
          <xdr:col>4</xdr:col>
          <xdr:colOff>1495425</xdr:colOff>
          <xdr:row>31</xdr:row>
          <xdr:rowOff>323850</xdr:rowOff>
        </xdr:to>
        <xdr:sp macro="" textlink="">
          <xdr:nvSpPr>
            <xdr:cNvPr id="30727" name="Check Box 7" hidden="1">
              <a:extLst>
                <a:ext uri="{63B3BB69-23CF-44E3-9099-C40C66FF867C}">
                  <a14:compatExt spid="_x0000_s307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1323975</xdr:colOff>
          <xdr:row>30</xdr:row>
          <xdr:rowOff>323850</xdr:rowOff>
        </xdr:from>
        <xdr:to>
          <xdr:col>6</xdr:col>
          <xdr:colOff>828675</xdr:colOff>
          <xdr:row>31</xdr:row>
          <xdr:rowOff>323850</xdr:rowOff>
        </xdr:to>
        <xdr:sp macro="" textlink="">
          <xdr:nvSpPr>
            <xdr:cNvPr id="30728" name="Check Box 8" hidden="1">
              <a:extLst>
                <a:ext uri="{63B3BB69-23CF-44E3-9099-C40C66FF867C}">
                  <a14:compatExt spid="_x0000_s307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30</xdr:row>
          <xdr:rowOff>323850</xdr:rowOff>
        </xdr:from>
        <xdr:to>
          <xdr:col>11</xdr:col>
          <xdr:colOff>828675</xdr:colOff>
          <xdr:row>31</xdr:row>
          <xdr:rowOff>323850</xdr:rowOff>
        </xdr:to>
        <xdr:sp macro="" textlink="">
          <xdr:nvSpPr>
            <xdr:cNvPr id="30729" name="Check Box 9" hidden="1">
              <a:extLst>
                <a:ext uri="{63B3BB69-23CF-44E3-9099-C40C66FF867C}">
                  <a14:compatExt spid="_x0000_s307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1990725</xdr:colOff>
          <xdr:row>30</xdr:row>
          <xdr:rowOff>9525</xdr:rowOff>
        </xdr:from>
        <xdr:to>
          <xdr:col>12</xdr:col>
          <xdr:colOff>1619250</xdr:colOff>
          <xdr:row>30</xdr:row>
          <xdr:rowOff>304800</xdr:rowOff>
        </xdr:to>
        <xdr:sp macro="" textlink="">
          <xdr:nvSpPr>
            <xdr:cNvPr id="30738" name="Check Box 18" hidden="1">
              <a:extLst>
                <a:ext uri="{63B3BB69-23CF-44E3-9099-C40C66FF867C}">
                  <a14:compatExt spid="_x0000_s307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1687286</xdr:colOff>
      <xdr:row>50</xdr:row>
      <xdr:rowOff>295938</xdr:rowOff>
    </xdr:from>
    <xdr:to>
      <xdr:col>11</xdr:col>
      <xdr:colOff>68036</xdr:colOff>
      <xdr:row>53</xdr:row>
      <xdr:rowOff>256894</xdr:rowOff>
    </xdr:to>
    <xdr:pic>
      <xdr:nvPicPr>
        <xdr:cNvPr id="25" name="Resim 24"/>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71298"/>
        <a:stretch/>
      </xdr:blipFill>
      <xdr:spPr>
        <a:xfrm>
          <a:off x="4191000" y="14855581"/>
          <a:ext cx="11851822" cy="98149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1181100</xdr:colOff>
          <xdr:row>29</xdr:row>
          <xdr:rowOff>333375</xdr:rowOff>
        </xdr:from>
        <xdr:to>
          <xdr:col>11</xdr:col>
          <xdr:colOff>904875</xdr:colOff>
          <xdr:row>30</xdr:row>
          <xdr:rowOff>295275</xdr:rowOff>
        </xdr:to>
        <xdr:sp macro="" textlink="">
          <xdr:nvSpPr>
            <xdr:cNvPr id="30739" name="Check Box 19" hidden="1">
              <a:extLst>
                <a:ext uri="{63B3BB69-23CF-44E3-9099-C40C66FF867C}">
                  <a14:compatExt spid="_x0000_s307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163285</xdr:colOff>
      <xdr:row>54</xdr:row>
      <xdr:rowOff>108858</xdr:rowOff>
    </xdr:from>
    <xdr:to>
      <xdr:col>3</xdr:col>
      <xdr:colOff>688361</xdr:colOff>
      <xdr:row>59</xdr:row>
      <xdr:rowOff>65471</xdr:rowOff>
    </xdr:to>
    <xdr:pic>
      <xdr:nvPicPr>
        <xdr:cNvPr id="27" name="Resim 26"/>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972" t="16371" b="28205"/>
        <a:stretch/>
      </xdr:blipFill>
      <xdr:spPr>
        <a:xfrm>
          <a:off x="258535" y="16029215"/>
          <a:ext cx="2933540" cy="1657506"/>
        </a:xfrm>
        <a:prstGeom prst="rect">
          <a:avLst/>
        </a:prstGeom>
      </xdr:spPr>
    </xdr:pic>
    <xdr:clientData/>
  </xdr:twoCellAnchor>
  <xdr:twoCellAnchor editAs="oneCell">
    <xdr:from>
      <xdr:col>11</xdr:col>
      <xdr:colOff>326571</xdr:colOff>
      <xdr:row>54</xdr:row>
      <xdr:rowOff>149678</xdr:rowOff>
    </xdr:from>
    <xdr:to>
      <xdr:col>12</xdr:col>
      <xdr:colOff>2213814</xdr:colOff>
      <xdr:row>59</xdr:row>
      <xdr:rowOff>225136</xdr:rowOff>
    </xdr:to>
    <xdr:pic>
      <xdr:nvPicPr>
        <xdr:cNvPr id="28" name="Resim 27"/>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559" t="20957" r="9571" b="18567"/>
        <a:stretch/>
      </xdr:blipFill>
      <xdr:spPr>
        <a:xfrm>
          <a:off x="16301357" y="16070035"/>
          <a:ext cx="4037171" cy="1776351"/>
        </a:xfrm>
        <a:prstGeom prst="rect">
          <a:avLst/>
        </a:prstGeom>
      </xdr:spPr>
    </xdr:pic>
    <xdr:clientData/>
  </xdr:twoCellAnchor>
</xdr: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M100"/>
  <sheetViews>
    <sheetView tabSelected="1" zoomScale="70" zoomScaleNormal="70" zoomScaleSheetLayoutView="70" workbookViewId="0">
      <selection activeCell="E39" sqref="E39"/>
    </sheetView>
  </sheetViews>
  <sheetFormatPr defaultRowHeight="15" x14ac:dyDescent="0.25"/>
  <cols>
    <col min="1" max="1" width="1.42578125" style="1" customWidth="1"/>
    <col min="2" max="2" width="5.5703125" style="1" customWidth="1"/>
    <col min="3" max="3" width="30.5703125" style="1" customWidth="1"/>
    <col min="4" max="4" width="59.85546875" style="1" customWidth="1"/>
    <col min="5" max="5" width="29.28515625" style="1" customWidth="1"/>
    <col min="6" max="6" width="23.140625" style="1" customWidth="1"/>
    <col min="7" max="7" width="17.7109375" style="1" customWidth="1"/>
    <col min="8" max="10" width="20.5703125" style="1" customWidth="1"/>
    <col min="11" max="11" width="10.140625" style="1" customWidth="1"/>
    <col min="12" max="12" width="32.140625" style="1" customWidth="1"/>
    <col min="13" max="13" width="38" style="1" customWidth="1"/>
    <col min="14" max="16384" width="9.140625" style="1"/>
  </cols>
  <sheetData>
    <row r="1" spans="1:13" x14ac:dyDescent="0.25">
      <c r="A1" s="28"/>
      <c r="B1" s="28"/>
      <c r="C1" s="21"/>
      <c r="D1" s="21"/>
      <c r="E1" s="21"/>
      <c r="F1" s="21"/>
      <c r="G1" s="21"/>
      <c r="H1" s="21"/>
      <c r="I1" s="21"/>
      <c r="J1" s="21"/>
      <c r="K1" s="21"/>
      <c r="L1" s="21"/>
      <c r="M1" s="21"/>
    </row>
    <row r="2" spans="1:13" x14ac:dyDescent="0.25">
      <c r="A2" s="28"/>
      <c r="B2" s="28"/>
      <c r="C2" s="21"/>
      <c r="D2" s="21"/>
      <c r="E2" s="21"/>
      <c r="F2" s="21"/>
      <c r="G2" s="21"/>
      <c r="H2" s="21"/>
      <c r="I2" s="21"/>
      <c r="J2" s="21"/>
      <c r="K2" s="21"/>
      <c r="L2" s="21"/>
      <c r="M2" s="21"/>
    </row>
    <row r="3" spans="1:13" x14ac:dyDescent="0.25">
      <c r="A3" s="28"/>
      <c r="B3" s="28"/>
      <c r="C3" s="21"/>
      <c r="D3" s="21"/>
      <c r="E3" s="21"/>
      <c r="F3" s="21"/>
      <c r="G3" s="21"/>
      <c r="H3" s="21"/>
      <c r="I3" s="21"/>
      <c r="J3" s="21"/>
      <c r="K3" s="21"/>
      <c r="L3" s="21"/>
      <c r="M3" s="21"/>
    </row>
    <row r="4" spans="1:13" x14ac:dyDescent="0.25">
      <c r="A4" s="28"/>
      <c r="B4" s="28"/>
      <c r="C4" s="21"/>
      <c r="D4" s="21"/>
      <c r="E4" s="21"/>
      <c r="F4" s="21"/>
      <c r="G4" s="21"/>
      <c r="H4" s="21"/>
      <c r="I4" s="21"/>
      <c r="J4" s="21"/>
      <c r="K4" s="21"/>
      <c r="L4" s="21"/>
      <c r="M4" s="21"/>
    </row>
    <row r="5" spans="1:13" x14ac:dyDescent="0.25">
      <c r="A5" s="28"/>
      <c r="B5" s="28"/>
      <c r="C5" s="21"/>
      <c r="D5" s="21"/>
      <c r="E5" s="21"/>
      <c r="F5" s="21"/>
      <c r="G5" s="21"/>
      <c r="H5" s="21"/>
      <c r="I5" s="21"/>
      <c r="J5" s="21"/>
      <c r="K5" s="21"/>
      <c r="L5" s="21"/>
      <c r="M5" s="21"/>
    </row>
    <row r="6" spans="1:13" x14ac:dyDescent="0.25">
      <c r="A6" s="28"/>
      <c r="B6" s="28"/>
      <c r="C6" s="21"/>
      <c r="D6" s="21"/>
      <c r="E6" s="21"/>
      <c r="F6" s="21"/>
      <c r="G6" s="21"/>
      <c r="H6" s="21"/>
      <c r="I6" s="21"/>
      <c r="J6" s="21"/>
      <c r="K6" s="21"/>
      <c r="L6" s="21"/>
      <c r="M6" s="21"/>
    </row>
    <row r="7" spans="1:13" x14ac:dyDescent="0.25">
      <c r="A7" s="28"/>
      <c r="B7" s="28"/>
      <c r="C7" s="21"/>
      <c r="D7" s="21"/>
      <c r="E7" s="21"/>
      <c r="F7" s="21"/>
      <c r="G7" s="21"/>
      <c r="H7" s="21"/>
      <c r="I7" s="21"/>
      <c r="J7" s="21"/>
      <c r="K7" s="21"/>
      <c r="L7" s="21"/>
      <c r="M7" s="21"/>
    </row>
    <row r="8" spans="1:13" x14ac:dyDescent="0.25">
      <c r="A8" s="28"/>
      <c r="B8" s="28"/>
      <c r="C8" s="21"/>
      <c r="D8" s="21"/>
      <c r="E8" s="21"/>
      <c r="F8" s="21"/>
      <c r="G8" s="21"/>
      <c r="H8" s="21"/>
      <c r="I8" s="21"/>
      <c r="J8" s="21"/>
      <c r="K8" s="21"/>
      <c r="L8" s="21"/>
      <c r="M8" s="21"/>
    </row>
    <row r="9" spans="1:13" x14ac:dyDescent="0.25">
      <c r="A9" s="28"/>
      <c r="B9" s="28"/>
      <c r="C9" s="21"/>
      <c r="D9" s="21"/>
      <c r="E9" s="21"/>
      <c r="F9" s="21"/>
      <c r="G9" s="21"/>
      <c r="H9" s="21"/>
      <c r="I9" s="21"/>
      <c r="J9" s="21"/>
      <c r="K9" s="21"/>
      <c r="L9" s="21"/>
      <c r="M9" s="21"/>
    </row>
    <row r="10" spans="1:13" x14ac:dyDescent="0.25">
      <c r="A10" s="28"/>
      <c r="B10" s="28"/>
      <c r="C10" s="21"/>
      <c r="D10" s="21"/>
      <c r="E10" s="21"/>
      <c r="F10" s="21"/>
      <c r="G10" s="21"/>
      <c r="H10" s="21"/>
      <c r="I10" s="21"/>
      <c r="J10" s="21"/>
      <c r="K10" s="21"/>
      <c r="L10" s="21"/>
      <c r="M10" s="21"/>
    </row>
    <row r="11" spans="1:13" x14ac:dyDescent="0.25">
      <c r="A11" s="28"/>
      <c r="B11" s="28"/>
      <c r="C11" s="21"/>
      <c r="D11" s="21"/>
      <c r="E11" s="21"/>
      <c r="F11" s="21"/>
      <c r="G11" s="21"/>
      <c r="H11" s="21"/>
      <c r="I11" s="21"/>
      <c r="J11" s="21"/>
      <c r="K11" s="21"/>
      <c r="L11" s="21"/>
      <c r="M11" s="21"/>
    </row>
    <row r="12" spans="1:13" ht="28.5" customHeight="1" x14ac:dyDescent="0.25">
      <c r="A12" s="28"/>
      <c r="B12" s="28"/>
      <c r="C12" s="66" t="s">
        <v>57</v>
      </c>
      <c r="D12" s="66"/>
      <c r="E12" s="66"/>
      <c r="F12" s="66"/>
      <c r="G12" s="66"/>
      <c r="H12" s="66"/>
      <c r="I12" s="66"/>
      <c r="J12" s="66"/>
      <c r="K12" s="66"/>
      <c r="L12" s="66"/>
      <c r="M12" s="67"/>
    </row>
    <row r="13" spans="1:13" ht="26.25" customHeight="1" thickBot="1" x14ac:dyDescent="0.3">
      <c r="A13" s="28"/>
      <c r="B13" s="28"/>
      <c r="C13" s="28"/>
      <c r="D13" s="28"/>
      <c r="E13" s="28"/>
      <c r="F13" s="28"/>
      <c r="G13" s="28"/>
      <c r="H13" s="28"/>
      <c r="I13" s="28"/>
      <c r="J13" s="28"/>
      <c r="K13" s="28"/>
      <c r="L13" s="28"/>
      <c r="M13" s="58"/>
    </row>
    <row r="14" spans="1:13" ht="26.25" customHeight="1" thickBot="1" x14ac:dyDescent="0.3">
      <c r="A14" s="28"/>
      <c r="B14" s="28"/>
      <c r="C14" s="28"/>
      <c r="D14" s="28"/>
      <c r="E14" s="28"/>
      <c r="F14" s="28"/>
      <c r="G14" s="28"/>
      <c r="H14" s="28"/>
      <c r="I14" s="28"/>
      <c r="J14" s="28"/>
      <c r="K14" s="28"/>
      <c r="L14" s="23" t="s">
        <v>42</v>
      </c>
      <c r="M14" s="39">
        <f ca="1">TODAY()</f>
        <v>46094</v>
      </c>
    </row>
    <row r="15" spans="1:13" ht="27" customHeight="1" thickBot="1" x14ac:dyDescent="0.3">
      <c r="B15" s="68" t="s">
        <v>41</v>
      </c>
      <c r="C15" s="69" t="s">
        <v>91</v>
      </c>
      <c r="D15" s="70"/>
      <c r="E15" s="70"/>
      <c r="F15" s="70"/>
      <c r="G15" s="70"/>
      <c r="H15" s="70"/>
      <c r="I15" s="70"/>
      <c r="J15" s="70"/>
      <c r="K15" s="70"/>
      <c r="L15" s="70"/>
      <c r="M15" s="71"/>
    </row>
    <row r="16" spans="1:13" ht="27" customHeight="1" x14ac:dyDescent="0.25">
      <c r="B16" s="68"/>
      <c r="C16" s="72" t="s">
        <v>21</v>
      </c>
      <c r="D16" s="73"/>
      <c r="E16" s="102"/>
      <c r="F16" s="84"/>
      <c r="G16" s="84"/>
      <c r="H16" s="84"/>
      <c r="I16" s="84"/>
      <c r="J16" s="85"/>
      <c r="K16" s="72" t="s">
        <v>31</v>
      </c>
      <c r="L16" s="74"/>
      <c r="M16" s="73"/>
    </row>
    <row r="17" spans="2:13" ht="27" customHeight="1" x14ac:dyDescent="0.25">
      <c r="B17" s="68"/>
      <c r="C17" s="75" t="s">
        <v>32</v>
      </c>
      <c r="D17" s="76"/>
      <c r="E17" s="103"/>
      <c r="F17" s="104"/>
      <c r="G17" s="104"/>
      <c r="H17" s="104"/>
      <c r="I17" s="104"/>
      <c r="J17" s="105"/>
      <c r="K17" s="75" t="s">
        <v>32</v>
      </c>
      <c r="L17" s="77"/>
      <c r="M17" s="76"/>
    </row>
    <row r="18" spans="2:13" ht="27" customHeight="1" x14ac:dyDescent="0.25">
      <c r="B18" s="68"/>
      <c r="C18" s="75" t="s">
        <v>33</v>
      </c>
      <c r="D18" s="76"/>
      <c r="E18" s="103"/>
      <c r="F18" s="104"/>
      <c r="G18" s="104"/>
      <c r="H18" s="104"/>
      <c r="I18" s="104"/>
      <c r="J18" s="105"/>
      <c r="K18" s="75" t="s">
        <v>34</v>
      </c>
      <c r="L18" s="77"/>
      <c r="M18" s="76"/>
    </row>
    <row r="19" spans="2:13" ht="27" customHeight="1" thickBot="1" x14ac:dyDescent="0.3">
      <c r="B19" s="68"/>
      <c r="C19" s="78" t="s">
        <v>35</v>
      </c>
      <c r="D19" s="79"/>
      <c r="E19" s="106"/>
      <c r="F19" s="107"/>
      <c r="G19" s="107"/>
      <c r="H19" s="107"/>
      <c r="I19" s="107"/>
      <c r="J19" s="108"/>
      <c r="K19" s="78" t="s">
        <v>35</v>
      </c>
      <c r="L19" s="83"/>
      <c r="M19" s="79"/>
    </row>
    <row r="20" spans="2:13" ht="27" customHeight="1" x14ac:dyDescent="0.25">
      <c r="B20" s="68"/>
      <c r="C20" s="74"/>
      <c r="D20" s="74"/>
      <c r="E20" s="74"/>
      <c r="F20" s="74"/>
      <c r="G20" s="74"/>
      <c r="H20" s="74"/>
      <c r="I20" s="74"/>
      <c r="J20" s="74"/>
      <c r="K20" s="74"/>
      <c r="L20" s="74"/>
      <c r="M20" s="74"/>
    </row>
    <row r="21" spans="2:13" ht="27" customHeight="1" thickBot="1" x14ac:dyDescent="0.3">
      <c r="B21" s="68"/>
      <c r="C21" s="83"/>
      <c r="D21" s="83"/>
      <c r="E21" s="83"/>
      <c r="F21" s="83"/>
      <c r="G21" s="83"/>
      <c r="H21" s="83"/>
      <c r="I21" s="83"/>
      <c r="J21" s="83"/>
      <c r="K21" s="83"/>
      <c r="L21" s="83"/>
      <c r="M21" s="83"/>
    </row>
    <row r="22" spans="2:13" ht="27" customHeight="1" thickBot="1" x14ac:dyDescent="0.3">
      <c r="B22" s="68"/>
      <c r="C22" s="69" t="s">
        <v>44</v>
      </c>
      <c r="D22" s="84"/>
      <c r="E22" s="84"/>
      <c r="F22" s="84"/>
      <c r="G22" s="84"/>
      <c r="H22" s="84"/>
      <c r="I22" s="84"/>
      <c r="J22" s="84"/>
      <c r="K22" s="84"/>
      <c r="L22" s="84"/>
      <c r="M22" s="85"/>
    </row>
    <row r="23" spans="2:13" ht="27" customHeight="1" thickBot="1" x14ac:dyDescent="0.3">
      <c r="B23" s="68"/>
      <c r="C23" s="23" t="s">
        <v>36</v>
      </c>
      <c r="D23" s="86"/>
      <c r="E23" s="87"/>
      <c r="F23" s="87"/>
      <c r="G23" s="87"/>
      <c r="H23" s="87"/>
      <c r="I23" s="87"/>
      <c r="J23" s="87"/>
      <c r="K23" s="87"/>
      <c r="L23" s="87"/>
      <c r="M23" s="88"/>
    </row>
    <row r="24" spans="2:13" ht="27" customHeight="1" thickBot="1" x14ac:dyDescent="0.3">
      <c r="B24" s="68"/>
      <c r="C24" s="59" t="s">
        <v>37</v>
      </c>
      <c r="D24" s="89"/>
      <c r="E24" s="90"/>
      <c r="F24" s="90"/>
      <c r="G24" s="90"/>
      <c r="H24" s="90"/>
      <c r="I24" s="90"/>
      <c r="J24" s="90"/>
      <c r="K24" s="90"/>
      <c r="L24" s="90"/>
      <c r="M24" s="91"/>
    </row>
    <row r="25" spans="2:13" ht="27" customHeight="1" thickBot="1" x14ac:dyDescent="0.3">
      <c r="B25" s="68"/>
      <c r="C25" s="23" t="s">
        <v>38</v>
      </c>
      <c r="D25" s="92"/>
      <c r="E25" s="93"/>
      <c r="F25" s="93"/>
      <c r="G25" s="93"/>
      <c r="H25" s="93"/>
      <c r="I25" s="93"/>
      <c r="J25" s="93"/>
      <c r="K25" s="93"/>
      <c r="L25" s="93"/>
      <c r="M25" s="94"/>
    </row>
    <row r="26" spans="2:13" ht="27" customHeight="1" thickBot="1" x14ac:dyDescent="0.3">
      <c r="B26" s="68"/>
      <c r="C26" s="60" t="s">
        <v>39</v>
      </c>
      <c r="D26" s="89"/>
      <c r="E26" s="90"/>
      <c r="F26" s="90"/>
      <c r="G26" s="90"/>
      <c r="H26" s="90"/>
      <c r="I26" s="90"/>
      <c r="J26" s="90"/>
      <c r="K26" s="90"/>
      <c r="L26" s="90"/>
      <c r="M26" s="91"/>
    </row>
    <row r="27" spans="2:13" ht="27" customHeight="1" thickBot="1" x14ac:dyDescent="0.3">
      <c r="B27" s="68"/>
      <c r="C27" s="23" t="s">
        <v>40</v>
      </c>
      <c r="D27" s="109"/>
      <c r="E27" s="110"/>
      <c r="F27" s="110"/>
      <c r="G27" s="110"/>
      <c r="H27" s="110"/>
      <c r="I27" s="110"/>
      <c r="J27" s="110"/>
      <c r="K27" s="110"/>
      <c r="L27" s="110"/>
      <c r="M27" s="111"/>
    </row>
    <row r="28" spans="2:13" ht="27" customHeight="1" thickBot="1" x14ac:dyDescent="0.3">
      <c r="B28" s="46"/>
      <c r="C28" s="122"/>
      <c r="D28" s="122"/>
      <c r="E28" s="122"/>
      <c r="F28" s="122"/>
      <c r="G28" s="122"/>
      <c r="H28" s="122"/>
      <c r="I28" s="122"/>
      <c r="J28" s="122"/>
      <c r="K28" s="122"/>
      <c r="L28" s="122"/>
      <c r="M28" s="122"/>
    </row>
    <row r="29" spans="2:13" ht="27" customHeight="1" thickBot="1" x14ac:dyDescent="0.3">
      <c r="B29" s="2"/>
      <c r="C29" s="69" t="s">
        <v>90</v>
      </c>
      <c r="D29" s="70"/>
      <c r="E29" s="70"/>
      <c r="F29" s="70"/>
      <c r="G29" s="70"/>
      <c r="H29" s="70"/>
      <c r="I29" s="70"/>
      <c r="J29" s="70"/>
      <c r="K29" s="70"/>
      <c r="L29" s="70"/>
      <c r="M29" s="71"/>
    </row>
    <row r="30" spans="2:13" ht="27" customHeight="1" thickBot="1" x14ac:dyDescent="0.3">
      <c r="B30" s="2"/>
      <c r="C30" s="43" t="s">
        <v>83</v>
      </c>
      <c r="D30" s="95" t="str">
        <f ca="1">"IK-"&amp;YEAR(NOW())&amp;MONTH(NOW())&amp;DAY(NOW())&amp;HOUR(NOW())&amp;MINUTE(NOW())</f>
        <v>IK-20263131642</v>
      </c>
      <c r="E30" s="96"/>
      <c r="F30" s="96"/>
      <c r="G30" s="96"/>
      <c r="H30" s="96"/>
      <c r="I30" s="96"/>
      <c r="J30" s="96"/>
      <c r="K30" s="96"/>
      <c r="L30" s="96"/>
      <c r="M30" s="97"/>
    </row>
    <row r="31" spans="2:13" ht="27" customHeight="1" thickBot="1" x14ac:dyDescent="0.3">
      <c r="B31" s="2"/>
      <c r="C31" s="43" t="s">
        <v>43</v>
      </c>
      <c r="D31" s="3" t="s">
        <v>48</v>
      </c>
      <c r="E31" s="4" t="s">
        <v>46</v>
      </c>
      <c r="F31" s="4"/>
      <c r="G31" s="4" t="s">
        <v>45</v>
      </c>
      <c r="H31" s="4"/>
      <c r="I31" s="4" t="s">
        <v>47</v>
      </c>
      <c r="J31" s="4"/>
      <c r="K31" s="5" t="s">
        <v>64</v>
      </c>
      <c r="L31" s="4"/>
      <c r="M31" s="5" t="s">
        <v>58</v>
      </c>
    </row>
    <row r="32" spans="2:13" ht="27" customHeight="1" thickBot="1" x14ac:dyDescent="0.3">
      <c r="B32" s="2"/>
      <c r="C32" s="22" t="s">
        <v>27</v>
      </c>
      <c r="D32" s="61" t="s">
        <v>49</v>
      </c>
      <c r="E32" s="42" t="s">
        <v>50</v>
      </c>
      <c r="F32" s="42"/>
      <c r="G32" s="98" t="s">
        <v>51</v>
      </c>
      <c r="H32" s="98"/>
      <c r="I32" s="98"/>
      <c r="J32" s="98"/>
      <c r="K32" s="98"/>
      <c r="L32" s="6" t="s">
        <v>52</v>
      </c>
      <c r="M32" s="7"/>
    </row>
    <row r="33" spans="2:13" ht="27" customHeight="1" thickBot="1" x14ac:dyDescent="0.3">
      <c r="B33" s="2"/>
      <c r="C33" s="43" t="s">
        <v>66</v>
      </c>
      <c r="D33" s="99" t="s">
        <v>65</v>
      </c>
      <c r="E33" s="100"/>
      <c r="F33" s="100"/>
      <c r="G33" s="100"/>
      <c r="H33" s="100"/>
      <c r="I33" s="100"/>
      <c r="J33" s="100"/>
      <c r="K33" s="100"/>
      <c r="L33" s="100"/>
      <c r="M33" s="101"/>
    </row>
    <row r="34" spans="2:13" ht="27" customHeight="1" x14ac:dyDescent="0.25">
      <c r="B34" s="2"/>
      <c r="C34" s="74"/>
      <c r="D34" s="74"/>
      <c r="E34" s="74"/>
      <c r="F34" s="74"/>
      <c r="G34" s="74"/>
      <c r="H34" s="74"/>
      <c r="I34" s="74"/>
      <c r="J34" s="74"/>
      <c r="K34" s="74"/>
      <c r="L34" s="74"/>
      <c r="M34" s="74"/>
    </row>
    <row r="35" spans="2:13" x14ac:dyDescent="0.25">
      <c r="C35" s="77"/>
      <c r="D35" s="77"/>
      <c r="E35" s="77"/>
      <c r="F35" s="77"/>
      <c r="G35" s="77"/>
      <c r="H35" s="77"/>
      <c r="I35" s="77"/>
      <c r="J35" s="77"/>
      <c r="K35" s="77"/>
      <c r="L35" s="77"/>
      <c r="M35" s="77"/>
    </row>
    <row r="36" spans="2:13" ht="27" customHeight="1" x14ac:dyDescent="0.25">
      <c r="C36" s="81" t="s">
        <v>92</v>
      </c>
      <c r="D36" s="81"/>
      <c r="E36" s="81"/>
      <c r="F36" s="81"/>
      <c r="G36" s="81"/>
      <c r="H36" s="81"/>
      <c r="I36" s="81"/>
      <c r="J36" s="81"/>
      <c r="K36" s="81"/>
      <c r="L36" s="81"/>
      <c r="M36" s="82"/>
    </row>
    <row r="37" spans="2:13" ht="27" customHeight="1" x14ac:dyDescent="0.25">
      <c r="C37" s="24" t="s">
        <v>0</v>
      </c>
      <c r="D37" s="24" t="s">
        <v>1</v>
      </c>
      <c r="E37" s="24" t="s">
        <v>2</v>
      </c>
      <c r="F37" s="24" t="s">
        <v>3</v>
      </c>
      <c r="G37" s="24" t="s">
        <v>4</v>
      </c>
      <c r="H37" s="24" t="s">
        <v>55</v>
      </c>
      <c r="I37" s="24" t="s">
        <v>62</v>
      </c>
      <c r="J37" s="24" t="s">
        <v>63</v>
      </c>
      <c r="K37" s="24" t="s">
        <v>5</v>
      </c>
      <c r="L37" s="24" t="s">
        <v>56</v>
      </c>
      <c r="M37" s="24" t="s">
        <v>6</v>
      </c>
    </row>
    <row r="38" spans="2:13" ht="27" customHeight="1" x14ac:dyDescent="0.3">
      <c r="C38" s="10"/>
      <c r="D38" s="38" t="str">
        <f>IF(C38="","",VLOOKUP(C38,IcKapiGrubu!$A:$C,2,0))</f>
        <v/>
      </c>
      <c r="E38" s="11"/>
      <c r="F38" s="10"/>
      <c r="G38" s="11">
        <v>0</v>
      </c>
      <c r="H38" s="37" t="str">
        <f>IF(C38="","",VLOOKUP(C38,IcKapiGrubu!$A:$C,3,0))</f>
        <v/>
      </c>
      <c r="I38" s="20">
        <v>0</v>
      </c>
      <c r="J38" s="20">
        <v>0</v>
      </c>
      <c r="K38" s="25" t="s">
        <v>7</v>
      </c>
      <c r="L38" s="33" t="str">
        <f>IF(G38&gt;0,ROUND(H38*(1-I38/100)*(1-J38/100),2),"")</f>
        <v/>
      </c>
      <c r="M38" s="34" t="str">
        <f>IF(G38&gt;0,L38*G38,"")</f>
        <v/>
      </c>
    </row>
    <row r="39" spans="2:13" ht="27" customHeight="1" x14ac:dyDescent="0.3">
      <c r="C39" s="10"/>
      <c r="D39" s="38" t="str">
        <f>IF(C39="","",VLOOKUP(C39,IcKapiGrubu!$A:$C,2,0))</f>
        <v/>
      </c>
      <c r="E39" s="11"/>
      <c r="F39" s="10"/>
      <c r="G39" s="11">
        <v>0</v>
      </c>
      <c r="H39" s="37" t="str">
        <f>IF(C39="","",VLOOKUP(C39,IcKapiGrubu!$A:$C,3,0))</f>
        <v/>
      </c>
      <c r="I39" s="20">
        <v>0</v>
      </c>
      <c r="J39" s="20">
        <v>0</v>
      </c>
      <c r="K39" s="25" t="s">
        <v>7</v>
      </c>
      <c r="L39" s="33" t="str">
        <f t="shared" ref="L39:L44" si="0">IF(G39&gt;0,ROUND(H39*(1-I39/100)*(1-J39/100),2),"")</f>
        <v/>
      </c>
      <c r="M39" s="34" t="str">
        <f t="shared" ref="M39:M44" si="1">IF(G39&gt;0,L39*G39,"")</f>
        <v/>
      </c>
    </row>
    <row r="40" spans="2:13" ht="27" customHeight="1" x14ac:dyDescent="0.3">
      <c r="C40" s="45"/>
      <c r="D40" s="38" t="str">
        <f>IF(C40="","",VLOOKUP(C40,IcKapiGrubu!$A:$C,2,0))</f>
        <v/>
      </c>
      <c r="E40" s="11"/>
      <c r="F40" s="10"/>
      <c r="G40" s="11">
        <v>0</v>
      </c>
      <c r="H40" s="37" t="str">
        <f>IF(C40="","",VLOOKUP(C40,IcKapiGrubu!$A:$C,3,0))</f>
        <v/>
      </c>
      <c r="I40" s="20">
        <v>0</v>
      </c>
      <c r="J40" s="20">
        <v>0</v>
      </c>
      <c r="K40" s="25" t="s">
        <v>7</v>
      </c>
      <c r="L40" s="33" t="str">
        <f t="shared" si="0"/>
        <v/>
      </c>
      <c r="M40" s="34" t="str">
        <f t="shared" si="1"/>
        <v/>
      </c>
    </row>
    <row r="41" spans="2:13" ht="27" customHeight="1" x14ac:dyDescent="0.3">
      <c r="C41" s="10"/>
      <c r="D41" s="38" t="str">
        <f>IF(C41="","",VLOOKUP(C41,IcKapiGrubu!$A:$C,2,0))</f>
        <v/>
      </c>
      <c r="E41" s="11"/>
      <c r="F41" s="10"/>
      <c r="G41" s="11">
        <v>0</v>
      </c>
      <c r="H41" s="37" t="str">
        <f>IF(C41="","",VLOOKUP(C41,IcKapiGrubu!$A:$C,3,0))</f>
        <v/>
      </c>
      <c r="I41" s="20">
        <v>0</v>
      </c>
      <c r="J41" s="20">
        <v>0</v>
      </c>
      <c r="K41" s="25" t="s">
        <v>7</v>
      </c>
      <c r="L41" s="33" t="str">
        <f t="shared" si="0"/>
        <v/>
      </c>
      <c r="M41" s="34" t="str">
        <f t="shared" si="1"/>
        <v/>
      </c>
    </row>
    <row r="42" spans="2:13" ht="27" customHeight="1" x14ac:dyDescent="0.3">
      <c r="C42" s="10"/>
      <c r="D42" s="38" t="str">
        <f>IF(C42="","",VLOOKUP(C42,IcKapiGrubu!$A:$C,2,0))</f>
        <v/>
      </c>
      <c r="E42" s="11"/>
      <c r="F42" s="10"/>
      <c r="G42" s="11">
        <v>0</v>
      </c>
      <c r="H42" s="37" t="str">
        <f>IF(C42="","",VLOOKUP(C42,IcKapiGrubu!$A:$C,3,0))</f>
        <v/>
      </c>
      <c r="I42" s="20">
        <v>0</v>
      </c>
      <c r="J42" s="20">
        <v>0</v>
      </c>
      <c r="K42" s="25" t="s">
        <v>7</v>
      </c>
      <c r="L42" s="33" t="str">
        <f t="shared" si="0"/>
        <v/>
      </c>
      <c r="M42" s="34" t="str">
        <f t="shared" si="1"/>
        <v/>
      </c>
    </row>
    <row r="43" spans="2:13" ht="27" customHeight="1" x14ac:dyDescent="0.3">
      <c r="C43" s="10"/>
      <c r="D43" s="38" t="str">
        <f>IF(C43="","",VLOOKUP(C43,IcKapiGrubu!$A:$C,2,0))</f>
        <v/>
      </c>
      <c r="E43" s="11"/>
      <c r="F43" s="10"/>
      <c r="G43" s="11">
        <v>0</v>
      </c>
      <c r="H43" s="37" t="str">
        <f>IF(C43="","",VLOOKUP(C43,IcKapiGrubu!$A:$C,3,0))</f>
        <v/>
      </c>
      <c r="I43" s="20">
        <v>0</v>
      </c>
      <c r="J43" s="20">
        <v>0</v>
      </c>
      <c r="K43" s="25" t="s">
        <v>7</v>
      </c>
      <c r="L43" s="33" t="str">
        <f t="shared" si="0"/>
        <v/>
      </c>
      <c r="M43" s="34" t="str">
        <f t="shared" si="1"/>
        <v/>
      </c>
    </row>
    <row r="44" spans="2:13" ht="27" customHeight="1" x14ac:dyDescent="0.3">
      <c r="C44" s="12"/>
      <c r="D44" s="38" t="str">
        <f>IF(C44="","",VLOOKUP(C44,IcKapiGrubu!$A:$C,2,0))</f>
        <v/>
      </c>
      <c r="E44" s="11"/>
      <c r="F44" s="13"/>
      <c r="G44" s="11">
        <v>0</v>
      </c>
      <c r="H44" s="37" t="str">
        <f>IF(C44="","",VLOOKUP(C44,IcKapiGrubu!$A:$C,3,0))</f>
        <v/>
      </c>
      <c r="I44" s="20">
        <v>0</v>
      </c>
      <c r="J44" s="20">
        <v>0</v>
      </c>
      <c r="K44" s="25" t="s">
        <v>7</v>
      </c>
      <c r="L44" s="33" t="str">
        <f t="shared" si="0"/>
        <v/>
      </c>
      <c r="M44" s="34" t="str">
        <f t="shared" si="1"/>
        <v/>
      </c>
    </row>
    <row r="45" spans="2:13" ht="27" customHeight="1" x14ac:dyDescent="0.35">
      <c r="D45" s="8"/>
      <c r="E45" s="8"/>
      <c r="F45" s="8"/>
      <c r="G45" s="9">
        <f>SUM(G38:G44)</f>
        <v>0</v>
      </c>
      <c r="H45" s="44"/>
      <c r="I45" s="44"/>
      <c r="J45" s="44"/>
      <c r="K45" s="53"/>
      <c r="L45" s="19" t="s">
        <v>8</v>
      </c>
      <c r="M45" s="35">
        <f>SUM(M38:M44)</f>
        <v>0</v>
      </c>
    </row>
    <row r="46" spans="2:13" ht="27" customHeight="1" x14ac:dyDescent="0.35">
      <c r="C46" s="62" t="s">
        <v>93</v>
      </c>
      <c r="D46" s="8"/>
      <c r="E46" s="8"/>
      <c r="F46" s="8"/>
      <c r="G46" s="8"/>
      <c r="H46" s="8"/>
      <c r="I46" s="8"/>
      <c r="J46" s="8"/>
      <c r="K46" s="53"/>
      <c r="L46" s="19" t="s">
        <v>9</v>
      </c>
      <c r="M46" s="36">
        <f>M45*20/100</f>
        <v>0</v>
      </c>
    </row>
    <row r="47" spans="2:13" ht="27" customHeight="1" x14ac:dyDescent="0.35">
      <c r="C47" s="18" t="s">
        <v>94</v>
      </c>
      <c r="D47" s="14"/>
      <c r="E47" s="14"/>
      <c r="F47" s="14"/>
      <c r="G47" s="14"/>
      <c r="H47" s="14"/>
      <c r="I47" s="14"/>
      <c r="J47" s="14"/>
      <c r="K47" s="27"/>
      <c r="L47" s="19" t="s">
        <v>10</v>
      </c>
      <c r="M47" s="35">
        <f>M46+M45</f>
        <v>0</v>
      </c>
    </row>
    <row r="48" spans="2:13" ht="27" customHeight="1" x14ac:dyDescent="0.35">
      <c r="C48" s="18" t="s">
        <v>95</v>
      </c>
      <c r="D48" s="14"/>
      <c r="E48" s="14"/>
      <c r="F48" s="14"/>
      <c r="G48" s="14"/>
      <c r="H48" s="14"/>
      <c r="I48" s="14"/>
      <c r="J48" s="14"/>
      <c r="K48" s="27"/>
      <c r="L48" s="32"/>
      <c r="M48" s="47"/>
    </row>
    <row r="49" spans="1:13" ht="27" customHeight="1" x14ac:dyDescent="0.35">
      <c r="C49" s="18" t="s">
        <v>96</v>
      </c>
      <c r="D49" s="14"/>
      <c r="E49" s="14"/>
      <c r="F49" s="14"/>
      <c r="G49" s="14"/>
      <c r="H49" s="14"/>
      <c r="I49" s="14"/>
      <c r="J49" s="14"/>
      <c r="K49" s="14"/>
      <c r="L49" s="15"/>
      <c r="M49" s="16"/>
    </row>
    <row r="50" spans="1:13" ht="27" customHeight="1" x14ac:dyDescent="0.35">
      <c r="C50" s="18" t="s">
        <v>97</v>
      </c>
      <c r="D50" s="14"/>
      <c r="E50" s="14"/>
      <c r="F50" s="14"/>
      <c r="G50" s="14"/>
      <c r="H50" s="14"/>
      <c r="I50" s="14"/>
      <c r="J50" s="14"/>
      <c r="K50" s="14"/>
      <c r="L50" s="15"/>
      <c r="M50" s="16"/>
    </row>
    <row r="51" spans="1:13" ht="27" customHeight="1" x14ac:dyDescent="0.35">
      <c r="C51" s="14"/>
      <c r="D51" s="14"/>
      <c r="E51" s="14"/>
      <c r="F51" s="14"/>
      <c r="G51" s="14"/>
      <c r="H51" s="14"/>
      <c r="I51" s="14"/>
      <c r="J51" s="14"/>
      <c r="K51" s="14"/>
      <c r="L51" s="15"/>
      <c r="M51" s="16"/>
    </row>
    <row r="52" spans="1:13" ht="27" customHeight="1" x14ac:dyDescent="0.25">
      <c r="A52" s="28"/>
      <c r="B52" s="28"/>
      <c r="C52" s="123"/>
      <c r="D52" s="123"/>
      <c r="E52" s="123"/>
      <c r="F52" s="123"/>
      <c r="G52" s="123"/>
      <c r="H52" s="123"/>
      <c r="I52" s="123"/>
      <c r="J52" s="123"/>
      <c r="K52" s="123"/>
      <c r="L52" s="123"/>
      <c r="M52" s="123"/>
    </row>
    <row r="53" spans="1:13" ht="27" customHeight="1" x14ac:dyDescent="0.25">
      <c r="A53" s="28"/>
      <c r="B53" s="28"/>
      <c r="C53" s="123"/>
      <c r="D53" s="123"/>
      <c r="E53" s="123"/>
      <c r="F53" s="123"/>
      <c r="G53" s="123"/>
      <c r="H53" s="123"/>
      <c r="I53" s="123"/>
      <c r="J53" s="123"/>
      <c r="K53" s="123"/>
      <c r="L53" s="123"/>
      <c r="M53" s="123"/>
    </row>
    <row r="54" spans="1:13" ht="27" customHeight="1" x14ac:dyDescent="0.25">
      <c r="A54" s="28"/>
      <c r="B54" s="28"/>
      <c r="C54" s="123"/>
      <c r="D54" s="123"/>
      <c r="E54" s="123"/>
      <c r="F54" s="123"/>
      <c r="G54" s="123"/>
      <c r="H54" s="123"/>
      <c r="I54" s="123"/>
      <c r="J54" s="123"/>
      <c r="K54" s="123"/>
      <c r="L54" s="123"/>
      <c r="M54" s="123"/>
    </row>
    <row r="55" spans="1:13" ht="27" customHeight="1" x14ac:dyDescent="0.35">
      <c r="A55" s="28"/>
      <c r="B55" s="28"/>
      <c r="C55" s="27"/>
      <c r="D55" s="27"/>
      <c r="E55" s="27"/>
      <c r="F55" s="27"/>
      <c r="G55" s="27"/>
      <c r="H55" s="27"/>
      <c r="I55" s="27"/>
      <c r="J55" s="27"/>
      <c r="K55" s="27"/>
      <c r="L55" s="32"/>
      <c r="M55" s="47"/>
    </row>
    <row r="56" spans="1:13" ht="27" customHeight="1" x14ac:dyDescent="0.35">
      <c r="A56" s="28"/>
      <c r="B56" s="28"/>
      <c r="C56" s="27"/>
      <c r="D56" s="27"/>
      <c r="E56" s="27"/>
      <c r="F56" s="27"/>
      <c r="G56" s="27"/>
      <c r="H56" s="27"/>
      <c r="I56" s="27"/>
      <c r="J56" s="27"/>
      <c r="K56" s="27"/>
      <c r="L56" s="32"/>
      <c r="M56" s="47"/>
    </row>
    <row r="57" spans="1:13" ht="27" customHeight="1" x14ac:dyDescent="0.35">
      <c r="A57" s="28"/>
      <c r="B57" s="28"/>
      <c r="C57" s="27"/>
      <c r="D57" s="27"/>
      <c r="E57" s="27"/>
      <c r="F57" s="27"/>
      <c r="G57" s="27"/>
      <c r="H57" s="27"/>
      <c r="I57" s="27"/>
      <c r="J57" s="27"/>
      <c r="K57" s="27"/>
      <c r="L57" s="32"/>
      <c r="M57" s="47"/>
    </row>
    <row r="58" spans="1:13" ht="27" customHeight="1" x14ac:dyDescent="0.35">
      <c r="A58" s="28"/>
      <c r="B58" s="28"/>
      <c r="C58" s="27"/>
      <c r="D58" s="27"/>
      <c r="E58" s="27"/>
      <c r="F58" s="27"/>
      <c r="G58" s="27"/>
      <c r="H58" s="27"/>
      <c r="I58" s="27"/>
      <c r="J58" s="27"/>
      <c r="K58" s="27"/>
      <c r="L58" s="32"/>
      <c r="M58" s="47"/>
    </row>
    <row r="59" spans="1:13" ht="27" customHeight="1" x14ac:dyDescent="0.35">
      <c r="A59" s="28"/>
      <c r="B59" s="28"/>
      <c r="C59" s="27"/>
      <c r="D59" s="27"/>
      <c r="E59" s="27"/>
      <c r="F59" s="27"/>
      <c r="G59" s="27"/>
      <c r="H59" s="27"/>
      <c r="I59" s="27"/>
      <c r="J59" s="27"/>
      <c r="K59" s="27"/>
      <c r="L59" s="32"/>
      <c r="M59" s="47"/>
    </row>
    <row r="60" spans="1:13" ht="27" customHeight="1" thickBot="1" x14ac:dyDescent="0.4">
      <c r="A60" s="28"/>
      <c r="B60" s="28"/>
      <c r="C60" s="27"/>
      <c r="D60" s="27"/>
      <c r="E60" s="27"/>
      <c r="F60" s="27"/>
      <c r="G60" s="27"/>
      <c r="H60" s="27"/>
      <c r="I60" s="27"/>
      <c r="J60" s="27"/>
      <c r="K60" s="27"/>
      <c r="L60" s="32"/>
      <c r="M60" s="47"/>
    </row>
    <row r="61" spans="1:13" ht="27" customHeight="1" thickBot="1" x14ac:dyDescent="0.3">
      <c r="C61" s="112" t="s">
        <v>67</v>
      </c>
      <c r="D61" s="113"/>
      <c r="E61" s="56"/>
      <c r="F61" s="56"/>
      <c r="G61" s="56"/>
      <c r="H61" s="56"/>
      <c r="I61" s="56"/>
      <c r="J61" s="112" t="s">
        <v>74</v>
      </c>
      <c r="K61" s="114"/>
      <c r="L61" s="113"/>
      <c r="M61" s="16"/>
    </row>
    <row r="62" spans="1:13" ht="27" customHeight="1" x14ac:dyDescent="0.35">
      <c r="C62" s="48" t="s">
        <v>68</v>
      </c>
      <c r="D62" s="51"/>
      <c r="E62" s="56"/>
      <c r="F62" s="56"/>
      <c r="G62" s="56"/>
      <c r="H62" s="56"/>
      <c r="I62" s="56"/>
      <c r="J62" s="118" t="s">
        <v>331</v>
      </c>
      <c r="K62" s="119"/>
      <c r="L62" s="54">
        <f>M47</f>
        <v>0</v>
      </c>
      <c r="M62" s="16"/>
    </row>
    <row r="63" spans="1:13" ht="27" customHeight="1" thickBot="1" x14ac:dyDescent="0.4">
      <c r="C63" s="49" t="s">
        <v>69</v>
      </c>
      <c r="D63" s="51"/>
      <c r="E63" s="56"/>
      <c r="F63" s="56"/>
      <c r="G63" s="56"/>
      <c r="H63" s="56"/>
      <c r="I63" s="56"/>
      <c r="J63" s="120" t="s">
        <v>26</v>
      </c>
      <c r="K63" s="121"/>
      <c r="L63" s="55">
        <f>L62</f>
        <v>0</v>
      </c>
      <c r="M63" s="16"/>
    </row>
    <row r="64" spans="1:13" ht="27" customHeight="1" x14ac:dyDescent="0.35">
      <c r="C64" s="49" t="s">
        <v>70</v>
      </c>
      <c r="D64" s="51"/>
      <c r="E64" s="56"/>
      <c r="F64" s="56"/>
      <c r="G64" s="56"/>
      <c r="H64" s="56"/>
      <c r="I64" s="56"/>
      <c r="J64" s="14"/>
      <c r="K64" s="14"/>
      <c r="L64" s="15"/>
      <c r="M64" s="16"/>
    </row>
    <row r="65" spans="2:13" ht="27" customHeight="1" x14ac:dyDescent="0.35">
      <c r="C65" s="49" t="s">
        <v>71</v>
      </c>
      <c r="D65" s="51"/>
      <c r="E65" s="56"/>
      <c r="F65" s="56"/>
      <c r="G65" s="56"/>
      <c r="H65" s="56"/>
      <c r="I65" s="56"/>
      <c r="J65" s="14"/>
      <c r="K65" s="14"/>
      <c r="L65" s="15"/>
      <c r="M65" s="16"/>
    </row>
    <row r="66" spans="2:13" ht="27" customHeight="1" x14ac:dyDescent="0.35">
      <c r="C66" s="49" t="s">
        <v>72</v>
      </c>
      <c r="D66" s="51"/>
      <c r="E66" s="56"/>
      <c r="F66" s="56"/>
      <c r="G66" s="56"/>
      <c r="H66" s="56"/>
      <c r="I66" s="56"/>
      <c r="J66" s="14"/>
      <c r="K66" s="14"/>
      <c r="L66" s="15"/>
      <c r="M66" s="16"/>
    </row>
    <row r="67" spans="2:13" ht="27" customHeight="1" thickBot="1" x14ac:dyDescent="0.4">
      <c r="C67" s="50" t="s">
        <v>73</v>
      </c>
      <c r="D67" s="52"/>
      <c r="E67" s="56"/>
      <c r="F67" s="56"/>
      <c r="G67" s="56"/>
      <c r="H67" s="56"/>
      <c r="I67" s="56"/>
      <c r="J67" s="14"/>
      <c r="K67" s="14"/>
      <c r="L67" s="15"/>
      <c r="M67" s="16"/>
    </row>
    <row r="68" spans="2:13" ht="27" customHeight="1" x14ac:dyDescent="0.35">
      <c r="C68" s="14"/>
      <c r="D68" s="14"/>
      <c r="E68" s="56"/>
      <c r="F68" s="56"/>
      <c r="G68" s="56"/>
      <c r="H68" s="56"/>
      <c r="I68" s="56"/>
      <c r="J68" s="14"/>
      <c r="K68" s="14"/>
      <c r="L68" s="15"/>
      <c r="M68" s="16"/>
    </row>
    <row r="69" spans="2:13" ht="27" customHeight="1" x14ac:dyDescent="0.25">
      <c r="C69" s="80" t="s">
        <v>59</v>
      </c>
      <c r="D69" s="80"/>
      <c r="E69" s="80"/>
      <c r="F69" s="80"/>
      <c r="G69" s="80"/>
      <c r="H69" s="80"/>
      <c r="I69" s="80"/>
      <c r="J69" s="80"/>
      <c r="K69" s="80"/>
      <c r="L69" s="80"/>
      <c r="M69" s="80"/>
    </row>
    <row r="70" spans="2:13" ht="27" customHeight="1" x14ac:dyDescent="0.25">
      <c r="C70" s="81" t="s">
        <v>77</v>
      </c>
      <c r="D70" s="81"/>
      <c r="E70" s="81"/>
      <c r="F70" s="81"/>
      <c r="G70" s="81"/>
      <c r="H70" s="81"/>
      <c r="I70" s="81"/>
      <c r="J70" s="81"/>
      <c r="K70" s="81"/>
      <c r="L70" s="81"/>
      <c r="M70" s="82"/>
    </row>
    <row r="71" spans="2:13" ht="27" customHeight="1" x14ac:dyDescent="0.3">
      <c r="B71" s="28"/>
      <c r="C71" s="26" t="s">
        <v>11</v>
      </c>
      <c r="D71" s="57"/>
      <c r="E71" s="57"/>
      <c r="F71" s="26"/>
      <c r="G71" s="27"/>
      <c r="H71" s="27"/>
      <c r="I71" s="125" t="s">
        <v>78</v>
      </c>
      <c r="J71" s="125"/>
      <c r="K71" s="125"/>
      <c r="L71" s="125"/>
      <c r="M71" s="125"/>
    </row>
    <row r="72" spans="2:13" ht="27" customHeight="1" x14ac:dyDescent="0.25">
      <c r="B72" s="28"/>
      <c r="C72" s="26" t="s">
        <v>12</v>
      </c>
      <c r="D72" s="57"/>
      <c r="E72" s="57"/>
      <c r="F72" s="26"/>
      <c r="G72" s="27"/>
      <c r="H72" s="27"/>
      <c r="I72" s="126" t="s">
        <v>88</v>
      </c>
      <c r="J72" s="126"/>
      <c r="K72" s="126"/>
      <c r="L72" s="126"/>
      <c r="M72" s="126"/>
    </row>
    <row r="73" spans="2:13" ht="27" customHeight="1" x14ac:dyDescent="0.25">
      <c r="B73" s="28"/>
      <c r="C73" s="26" t="s">
        <v>13</v>
      </c>
      <c r="D73" s="57"/>
      <c r="E73" s="57"/>
      <c r="F73" s="26"/>
      <c r="G73" s="27"/>
      <c r="H73" s="27"/>
      <c r="I73" s="126" t="s">
        <v>89</v>
      </c>
      <c r="J73" s="126"/>
      <c r="K73" s="126"/>
      <c r="L73" s="126"/>
      <c r="M73" s="126"/>
    </row>
    <row r="74" spans="2:13" ht="27" customHeight="1" x14ac:dyDescent="0.25">
      <c r="B74" s="28"/>
      <c r="C74" s="26" t="s">
        <v>14</v>
      </c>
      <c r="D74" s="57"/>
      <c r="E74" s="57"/>
      <c r="F74" s="26"/>
      <c r="G74" s="27"/>
      <c r="H74" s="27"/>
      <c r="I74" s="126" t="s">
        <v>79</v>
      </c>
      <c r="J74" s="126"/>
      <c r="K74" s="126"/>
      <c r="L74" s="126"/>
      <c r="M74" s="126"/>
    </row>
    <row r="75" spans="2:13" ht="27" customHeight="1" x14ac:dyDescent="0.25">
      <c r="B75" s="28"/>
      <c r="C75" s="26" t="s">
        <v>15</v>
      </c>
      <c r="D75" s="57"/>
      <c r="E75" s="57"/>
      <c r="F75" s="26"/>
      <c r="G75" s="27"/>
      <c r="H75" s="27"/>
      <c r="I75" s="126" t="s">
        <v>80</v>
      </c>
      <c r="J75" s="126"/>
      <c r="K75" s="126"/>
      <c r="L75" s="126"/>
      <c r="M75" s="126"/>
    </row>
    <row r="76" spans="2:13" ht="27" customHeight="1" x14ac:dyDescent="0.25">
      <c r="B76" s="28"/>
      <c r="C76" s="26" t="s">
        <v>16</v>
      </c>
      <c r="D76" s="57"/>
      <c r="E76" s="57"/>
      <c r="F76" s="26"/>
      <c r="G76" s="27"/>
      <c r="H76" s="27"/>
      <c r="I76" s="126" t="s">
        <v>81</v>
      </c>
      <c r="J76" s="126"/>
      <c r="K76" s="126"/>
      <c r="L76" s="126"/>
      <c r="M76" s="126"/>
    </row>
    <row r="77" spans="2:13" ht="27" customHeight="1" x14ac:dyDescent="0.25">
      <c r="B77" s="28"/>
      <c r="C77" s="26" t="s">
        <v>17</v>
      </c>
      <c r="D77" s="57"/>
      <c r="E77" s="57"/>
      <c r="F77" s="26"/>
      <c r="G77" s="27"/>
      <c r="H77" s="27"/>
      <c r="I77" s="126" t="s">
        <v>82</v>
      </c>
      <c r="J77" s="126"/>
      <c r="K77" s="126"/>
      <c r="L77" s="126"/>
      <c r="M77" s="126"/>
    </row>
    <row r="78" spans="2:13" ht="50.25" customHeight="1" x14ac:dyDescent="0.35">
      <c r="B78" s="28"/>
      <c r="C78" s="117" t="s">
        <v>54</v>
      </c>
      <c r="D78" s="117"/>
      <c r="E78" s="117"/>
      <c r="F78" s="117"/>
      <c r="G78" s="27"/>
      <c r="H78" s="27"/>
      <c r="I78" s="27"/>
      <c r="J78" s="27"/>
      <c r="K78" s="27"/>
      <c r="L78" s="32"/>
      <c r="M78" s="29"/>
    </row>
    <row r="79" spans="2:13" ht="27" customHeight="1" x14ac:dyDescent="0.35">
      <c r="B79" s="28"/>
      <c r="C79" s="26" t="s">
        <v>53</v>
      </c>
      <c r="D79" s="57"/>
      <c r="E79" s="57"/>
      <c r="F79" s="26"/>
      <c r="G79" s="27"/>
      <c r="H79" s="27"/>
      <c r="I79" s="26" t="str">
        <f ca="1">"İşbu sözleşme "&amp;TEXT(TODAY(),"gg/aa/yyyy")&amp;" tarihinde iki nüsha olarak imzalanmış ve yürürlüğe girmiştir."</f>
        <v>İşbu sözleşme 13/03/2026 tarihinde iki nüsha olarak imzalanmış ve yürürlüğe girmiştir.</v>
      </c>
      <c r="J79" s="27"/>
      <c r="K79" s="27"/>
      <c r="L79" s="32"/>
      <c r="M79" s="17"/>
    </row>
    <row r="80" spans="2:13" ht="27" customHeight="1" x14ac:dyDescent="0.25">
      <c r="C80" s="81" t="s">
        <v>28</v>
      </c>
      <c r="D80" s="81"/>
      <c r="E80" s="81"/>
      <c r="F80" s="81"/>
      <c r="G80" s="81"/>
      <c r="H80" s="81"/>
      <c r="I80" s="81"/>
      <c r="J80" s="81"/>
      <c r="K80" s="81"/>
      <c r="L80" s="81"/>
      <c r="M80" s="82"/>
    </row>
    <row r="81" spans="3:13" ht="27" customHeight="1" thickBot="1" x14ac:dyDescent="0.3">
      <c r="C81" s="124"/>
      <c r="D81" s="124"/>
      <c r="E81" s="124"/>
      <c r="F81" s="124"/>
      <c r="G81" s="124"/>
      <c r="H81" s="124"/>
      <c r="I81" s="124"/>
      <c r="J81" s="124"/>
      <c r="K81" s="124"/>
      <c r="L81" s="124"/>
      <c r="M81" s="124"/>
    </row>
    <row r="82" spans="3:13" ht="27" customHeight="1" x14ac:dyDescent="0.25">
      <c r="C82" s="115" t="s">
        <v>29</v>
      </c>
      <c r="D82" s="116"/>
      <c r="E82" s="131"/>
      <c r="F82" s="132"/>
      <c r="G82" s="132"/>
      <c r="H82" s="132"/>
      <c r="I82" s="132"/>
      <c r="J82" s="133"/>
      <c r="K82" s="115" t="s">
        <v>76</v>
      </c>
      <c r="L82" s="127"/>
      <c r="M82" s="116"/>
    </row>
    <row r="83" spans="3:13" ht="27" customHeight="1" x14ac:dyDescent="0.25">
      <c r="C83" s="30" t="s">
        <v>18</v>
      </c>
      <c r="D83" s="63" t="s">
        <v>23</v>
      </c>
      <c r="E83" s="131"/>
      <c r="F83" s="132"/>
      <c r="G83" s="132"/>
      <c r="H83" s="132"/>
      <c r="I83" s="132"/>
      <c r="J83" s="133"/>
      <c r="K83" s="128" t="s">
        <v>75</v>
      </c>
      <c r="L83" s="129"/>
      <c r="M83" s="130"/>
    </row>
    <row r="84" spans="3:13" ht="27" customHeight="1" x14ac:dyDescent="0.25">
      <c r="C84" s="30" t="s">
        <v>19</v>
      </c>
      <c r="D84" s="63" t="s">
        <v>25</v>
      </c>
      <c r="E84" s="131"/>
      <c r="F84" s="132"/>
      <c r="G84" s="132"/>
      <c r="H84" s="132"/>
      <c r="I84" s="132"/>
      <c r="J84" s="133"/>
      <c r="K84" s="128" t="s">
        <v>85</v>
      </c>
      <c r="L84" s="129"/>
      <c r="M84" s="130"/>
    </row>
    <row r="85" spans="3:13" ht="27" customHeight="1" x14ac:dyDescent="0.25">
      <c r="C85" s="30" t="s">
        <v>87</v>
      </c>
      <c r="D85" s="63" t="s">
        <v>22</v>
      </c>
      <c r="E85" s="131"/>
      <c r="F85" s="132"/>
      <c r="G85" s="132"/>
      <c r="H85" s="132"/>
      <c r="I85" s="132"/>
      <c r="J85" s="133"/>
      <c r="K85" s="128" t="s">
        <v>86</v>
      </c>
      <c r="L85" s="129"/>
      <c r="M85" s="130"/>
    </row>
    <row r="86" spans="3:13" ht="27" customHeight="1" thickBot="1" x14ac:dyDescent="0.3">
      <c r="C86" s="31" t="s">
        <v>20</v>
      </c>
      <c r="D86" s="64" t="s">
        <v>24</v>
      </c>
      <c r="E86" s="131"/>
      <c r="F86" s="132"/>
      <c r="G86" s="132"/>
      <c r="H86" s="132"/>
      <c r="I86" s="132"/>
      <c r="J86" s="133"/>
      <c r="K86" s="65"/>
      <c r="L86" s="40"/>
      <c r="M86" s="41"/>
    </row>
    <row r="87" spans="3:13" ht="27" customHeight="1" x14ac:dyDescent="0.25">
      <c r="C87" s="27"/>
      <c r="D87" s="27"/>
      <c r="E87" s="27"/>
      <c r="F87" s="27"/>
      <c r="G87" s="28"/>
      <c r="H87" s="28"/>
      <c r="I87" s="28"/>
      <c r="J87" s="28"/>
      <c r="K87" s="28"/>
      <c r="L87" s="28"/>
      <c r="M87" s="28"/>
    </row>
    <row r="88" spans="3:13" ht="27" customHeight="1" thickBot="1" x14ac:dyDescent="0.3">
      <c r="C88" s="81" t="s">
        <v>84</v>
      </c>
      <c r="D88" s="81"/>
      <c r="E88" s="81"/>
      <c r="F88" s="81"/>
      <c r="G88" s="81"/>
      <c r="H88" s="81"/>
      <c r="I88" s="81"/>
      <c r="J88" s="81"/>
      <c r="K88" s="81"/>
      <c r="L88" s="81"/>
      <c r="M88" s="82"/>
    </row>
    <row r="89" spans="3:13" ht="27" customHeight="1" thickBot="1" x14ac:dyDescent="0.3">
      <c r="C89" s="112" t="s">
        <v>30</v>
      </c>
      <c r="D89" s="113"/>
      <c r="E89" s="28"/>
      <c r="F89" s="28"/>
      <c r="G89" s="28"/>
      <c r="H89" s="28"/>
      <c r="I89" s="28"/>
      <c r="J89" s="112">
        <f>D23</f>
        <v>0</v>
      </c>
      <c r="K89" s="114"/>
      <c r="L89" s="114"/>
      <c r="M89" s="113"/>
    </row>
    <row r="90" spans="3:13" ht="27" customHeight="1" x14ac:dyDescent="0.25">
      <c r="C90" s="28"/>
      <c r="D90" s="28"/>
      <c r="E90" s="28"/>
      <c r="F90" s="28"/>
      <c r="G90" s="28"/>
      <c r="H90" s="28"/>
      <c r="I90" s="28"/>
      <c r="J90" s="28"/>
      <c r="K90" s="28"/>
      <c r="L90" s="28"/>
      <c r="M90" s="28"/>
    </row>
    <row r="91" spans="3:13" ht="27" customHeight="1" x14ac:dyDescent="0.25">
      <c r="C91" s="28"/>
      <c r="D91" s="28"/>
      <c r="E91" s="28"/>
      <c r="F91" s="28"/>
      <c r="G91" s="28"/>
      <c r="H91" s="28"/>
      <c r="I91" s="28"/>
      <c r="J91" s="28"/>
      <c r="K91" s="28"/>
      <c r="L91" s="28"/>
      <c r="M91" s="28"/>
    </row>
    <row r="92" spans="3:13" ht="27" customHeight="1" x14ac:dyDescent="0.25">
      <c r="C92" s="28"/>
      <c r="D92" s="28"/>
      <c r="E92" s="28"/>
      <c r="F92" s="28"/>
      <c r="G92" s="28"/>
      <c r="H92" s="28"/>
      <c r="I92" s="28"/>
      <c r="J92" s="28"/>
      <c r="K92" s="28"/>
      <c r="L92" s="28"/>
      <c r="M92" s="28"/>
    </row>
    <row r="93" spans="3:13" ht="27" customHeight="1" x14ac:dyDescent="0.25">
      <c r="C93" s="28"/>
      <c r="D93" s="28"/>
      <c r="E93" s="28"/>
      <c r="F93" s="28"/>
      <c r="G93" s="28"/>
      <c r="H93" s="28"/>
      <c r="I93" s="28"/>
      <c r="J93" s="28"/>
      <c r="K93" s="28"/>
      <c r="L93" s="28"/>
      <c r="M93" s="28"/>
    </row>
    <row r="94" spans="3:13" ht="27" customHeight="1" x14ac:dyDescent="0.25">
      <c r="C94" s="28"/>
      <c r="D94" s="28"/>
      <c r="E94" s="28"/>
      <c r="F94" s="28"/>
      <c r="G94" s="28"/>
      <c r="H94" s="28"/>
      <c r="I94" s="28"/>
      <c r="J94" s="28"/>
      <c r="K94" s="28"/>
      <c r="L94" s="28"/>
      <c r="M94" s="28"/>
    </row>
    <row r="95" spans="3:13" ht="27" customHeight="1" x14ac:dyDescent="0.25">
      <c r="C95" s="28"/>
      <c r="D95" s="28"/>
      <c r="E95" s="28"/>
      <c r="F95" s="28"/>
      <c r="G95" s="28"/>
      <c r="H95" s="28"/>
      <c r="I95" s="28"/>
      <c r="J95" s="28"/>
      <c r="K95" s="28"/>
      <c r="L95" s="28"/>
      <c r="M95" s="28"/>
    </row>
    <row r="96" spans="3:13" ht="27" customHeight="1" x14ac:dyDescent="0.25">
      <c r="C96" s="28"/>
      <c r="D96" s="28"/>
      <c r="E96" s="28"/>
      <c r="F96" s="28"/>
      <c r="G96" s="28"/>
      <c r="H96" s="28"/>
      <c r="I96" s="28"/>
      <c r="J96" s="28"/>
      <c r="K96" s="28"/>
      <c r="L96" s="28"/>
      <c r="M96" s="28"/>
    </row>
    <row r="97" spans="3:13" ht="27" customHeight="1" x14ac:dyDescent="0.25">
      <c r="C97" s="28"/>
      <c r="D97" s="28"/>
      <c r="E97" s="28"/>
      <c r="F97" s="28"/>
      <c r="G97" s="28"/>
      <c r="H97" s="28"/>
      <c r="I97" s="28"/>
      <c r="J97" s="28"/>
      <c r="K97" s="28"/>
      <c r="L97" s="28"/>
      <c r="M97" s="28"/>
    </row>
    <row r="98" spans="3:13" ht="27" customHeight="1" x14ac:dyDescent="0.25">
      <c r="C98" s="28"/>
      <c r="D98" s="28"/>
      <c r="E98" s="28"/>
      <c r="F98" s="28"/>
      <c r="G98" s="28"/>
      <c r="H98" s="28"/>
      <c r="I98" s="28"/>
      <c r="J98" s="28"/>
      <c r="K98" s="28"/>
      <c r="L98" s="28"/>
      <c r="M98" s="28"/>
    </row>
    <row r="99" spans="3:13" ht="27" customHeight="1" x14ac:dyDescent="0.25">
      <c r="C99" s="28"/>
      <c r="D99" s="28"/>
      <c r="E99" s="28"/>
      <c r="F99" s="28"/>
      <c r="G99" s="28"/>
      <c r="H99" s="28"/>
      <c r="I99" s="28"/>
      <c r="J99" s="28"/>
      <c r="K99" s="28"/>
      <c r="L99" s="28"/>
      <c r="M99" s="28"/>
    </row>
    <row r="100" spans="3:13" ht="27" customHeight="1" x14ac:dyDescent="0.25">
      <c r="C100" s="28"/>
      <c r="D100" s="28"/>
      <c r="E100" s="28"/>
      <c r="F100" s="28"/>
      <c r="G100" s="28"/>
      <c r="H100" s="28"/>
      <c r="I100" s="28"/>
      <c r="J100" s="28"/>
      <c r="K100" s="28"/>
      <c r="L100" s="28"/>
      <c r="M100" s="28"/>
    </row>
  </sheetData>
  <sheetProtection algorithmName="SHA-512" hashValue="Nsj2/9jbIZG9PNHpL9UKc+D5tMcXMScD1K3Sh4gUazOKoNn6SWxGmMP9WkeqTdENIKu5X5Xc29/xWGKa3mx0Uw==" saltValue="+Qc0VG3qr196czcCdW7rSg==" spinCount="100000" sheet="1" selectLockedCells="1"/>
  <mergeCells count="52">
    <mergeCell ref="K83:M83"/>
    <mergeCell ref="K84:M84"/>
    <mergeCell ref="K85:M85"/>
    <mergeCell ref="E82:J86"/>
    <mergeCell ref="C61:D61"/>
    <mergeCell ref="C20:M21"/>
    <mergeCell ref="C28:M28"/>
    <mergeCell ref="C34:M35"/>
    <mergeCell ref="C52:M54"/>
    <mergeCell ref="J61:L61"/>
    <mergeCell ref="C89:D89"/>
    <mergeCell ref="J89:M89"/>
    <mergeCell ref="C82:D82"/>
    <mergeCell ref="C70:M70"/>
    <mergeCell ref="C78:F78"/>
    <mergeCell ref="C80:M80"/>
    <mergeCell ref="C81:M81"/>
    <mergeCell ref="I71:M71"/>
    <mergeCell ref="I72:M72"/>
    <mergeCell ref="I73:M73"/>
    <mergeCell ref="I74:M74"/>
    <mergeCell ref="I75:M75"/>
    <mergeCell ref="I76:M76"/>
    <mergeCell ref="I77:M77"/>
    <mergeCell ref="C88:M88"/>
    <mergeCell ref="K82:M82"/>
    <mergeCell ref="C69:M69"/>
    <mergeCell ref="C36:M36"/>
    <mergeCell ref="K19:M19"/>
    <mergeCell ref="C22:M22"/>
    <mergeCell ref="D23:M23"/>
    <mergeCell ref="D24:M24"/>
    <mergeCell ref="D25:M25"/>
    <mergeCell ref="D26:M26"/>
    <mergeCell ref="C29:M29"/>
    <mergeCell ref="D30:M30"/>
    <mergeCell ref="G32:K32"/>
    <mergeCell ref="D33:M33"/>
    <mergeCell ref="E16:J19"/>
    <mergeCell ref="D27:M27"/>
    <mergeCell ref="J62:K62"/>
    <mergeCell ref="J63:K63"/>
    <mergeCell ref="C12:M12"/>
    <mergeCell ref="B15:B27"/>
    <mergeCell ref="C15:M15"/>
    <mergeCell ref="C16:D16"/>
    <mergeCell ref="K16:M16"/>
    <mergeCell ref="C17:D17"/>
    <mergeCell ref="K17:M17"/>
    <mergeCell ref="C18:D18"/>
    <mergeCell ref="K18:M18"/>
    <mergeCell ref="C19:D19"/>
  </mergeCells>
  <dataValidations count="2">
    <dataValidation type="whole" showInputMessage="1" showErrorMessage="1" sqref="I38:I44">
      <formula1>0</formula1>
      <formula2>50</formula2>
    </dataValidation>
    <dataValidation type="whole" showInputMessage="1" showErrorMessage="1" sqref="J38:J44">
      <formula1>0</formula1>
      <formula2>12</formula2>
    </dataValidation>
  </dataValidations>
  <pageMargins left="0.15748031496062992" right="0.15748031496062992" top="3.937007874015748E-2" bottom="3.937007874015748E-2" header="0.31496062992125984" footer="0.31496062992125984"/>
  <pageSetup paperSize="9" scale="46" fitToHeight="0" orientation="landscape" r:id="rId1"/>
  <colBreaks count="1" manualBreakCount="1">
    <brk id="3"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0721" r:id="rId4" name="Check Box 1">
              <controlPr defaultSize="0" autoFill="0" autoLine="0" autoPict="0">
                <anchor moveWithCells="1">
                  <from>
                    <xdr:col>2</xdr:col>
                    <xdr:colOff>600075</xdr:colOff>
                    <xdr:row>15</xdr:row>
                    <xdr:rowOff>38100</xdr:rowOff>
                  </from>
                  <to>
                    <xdr:col>3</xdr:col>
                    <xdr:colOff>3743325</xdr:colOff>
                    <xdr:row>18</xdr:row>
                    <xdr:rowOff>314325</xdr:rowOff>
                  </to>
                </anchor>
              </controlPr>
            </control>
          </mc:Choice>
        </mc:AlternateContent>
        <mc:AlternateContent xmlns:mc="http://schemas.openxmlformats.org/markup-compatibility/2006">
          <mc:Choice Requires="x14">
            <control shapeId="30722" r:id="rId5" name="Check Box 2">
              <controlPr defaultSize="0" autoFill="0" autoLine="0" autoPict="0">
                <anchor moveWithCells="1">
                  <from>
                    <xdr:col>10</xdr:col>
                    <xdr:colOff>276225</xdr:colOff>
                    <xdr:row>15</xdr:row>
                    <xdr:rowOff>57150</xdr:rowOff>
                  </from>
                  <to>
                    <xdr:col>12</xdr:col>
                    <xdr:colOff>2419350</xdr:colOff>
                    <xdr:row>18</xdr:row>
                    <xdr:rowOff>276225</xdr:rowOff>
                  </to>
                </anchor>
              </controlPr>
            </control>
          </mc:Choice>
        </mc:AlternateContent>
        <mc:AlternateContent xmlns:mc="http://schemas.openxmlformats.org/markup-compatibility/2006">
          <mc:Choice Requires="x14">
            <control shapeId="30723" r:id="rId6" name="Check Box 3">
              <controlPr defaultSize="0" autoFill="0" autoLine="0" autoPict="0">
                <anchor moveWithCells="1">
                  <from>
                    <xdr:col>3</xdr:col>
                    <xdr:colOff>209550</xdr:colOff>
                    <xdr:row>29</xdr:row>
                    <xdr:rowOff>314325</xdr:rowOff>
                  </from>
                  <to>
                    <xdr:col>3</xdr:col>
                    <xdr:colOff>3009900</xdr:colOff>
                    <xdr:row>30</xdr:row>
                    <xdr:rowOff>314325</xdr:rowOff>
                  </to>
                </anchor>
              </controlPr>
            </control>
          </mc:Choice>
        </mc:AlternateContent>
        <mc:AlternateContent xmlns:mc="http://schemas.openxmlformats.org/markup-compatibility/2006">
          <mc:Choice Requires="x14">
            <control shapeId="30724" r:id="rId7" name="Check Box 4">
              <controlPr defaultSize="0" autoFill="0" autoLine="0" autoPict="0">
                <anchor moveWithCells="1">
                  <from>
                    <xdr:col>3</xdr:col>
                    <xdr:colOff>3838575</xdr:colOff>
                    <xdr:row>29</xdr:row>
                    <xdr:rowOff>323850</xdr:rowOff>
                  </from>
                  <to>
                    <xdr:col>5</xdr:col>
                    <xdr:colOff>609600</xdr:colOff>
                    <xdr:row>30</xdr:row>
                    <xdr:rowOff>323850</xdr:rowOff>
                  </to>
                </anchor>
              </controlPr>
            </control>
          </mc:Choice>
        </mc:AlternateContent>
        <mc:AlternateContent xmlns:mc="http://schemas.openxmlformats.org/markup-compatibility/2006">
          <mc:Choice Requires="x14">
            <control shapeId="30725" r:id="rId8" name="Check Box 5">
              <controlPr defaultSize="0" autoFill="0" autoLine="0" autoPict="0">
                <anchor moveWithCells="1">
                  <from>
                    <xdr:col>5</xdr:col>
                    <xdr:colOff>1352550</xdr:colOff>
                    <xdr:row>29</xdr:row>
                    <xdr:rowOff>333375</xdr:rowOff>
                  </from>
                  <to>
                    <xdr:col>7</xdr:col>
                    <xdr:colOff>114300</xdr:colOff>
                    <xdr:row>31</xdr:row>
                    <xdr:rowOff>0</xdr:rowOff>
                  </to>
                </anchor>
              </controlPr>
            </control>
          </mc:Choice>
        </mc:AlternateContent>
        <mc:AlternateContent xmlns:mc="http://schemas.openxmlformats.org/markup-compatibility/2006">
          <mc:Choice Requires="x14">
            <control shapeId="30726" r:id="rId9" name="Check Box 6">
              <controlPr defaultSize="0" autoFill="0" autoLine="0" autoPict="0">
                <anchor moveWithCells="1">
                  <from>
                    <xdr:col>7</xdr:col>
                    <xdr:colOff>1104900</xdr:colOff>
                    <xdr:row>30</xdr:row>
                    <xdr:rowOff>19050</xdr:rowOff>
                  </from>
                  <to>
                    <xdr:col>9</xdr:col>
                    <xdr:colOff>133350</xdr:colOff>
                    <xdr:row>30</xdr:row>
                    <xdr:rowOff>314325</xdr:rowOff>
                  </to>
                </anchor>
              </controlPr>
            </control>
          </mc:Choice>
        </mc:AlternateContent>
        <mc:AlternateContent xmlns:mc="http://schemas.openxmlformats.org/markup-compatibility/2006">
          <mc:Choice Requires="x14">
            <control shapeId="30727" r:id="rId10" name="Check Box 7">
              <controlPr defaultSize="0" autoFill="0" autoLine="0" autoPict="0">
                <anchor moveWithCells="1">
                  <from>
                    <xdr:col>4</xdr:col>
                    <xdr:colOff>447675</xdr:colOff>
                    <xdr:row>30</xdr:row>
                    <xdr:rowOff>323850</xdr:rowOff>
                  </from>
                  <to>
                    <xdr:col>4</xdr:col>
                    <xdr:colOff>1495425</xdr:colOff>
                    <xdr:row>31</xdr:row>
                    <xdr:rowOff>323850</xdr:rowOff>
                  </to>
                </anchor>
              </controlPr>
            </control>
          </mc:Choice>
        </mc:AlternateContent>
        <mc:AlternateContent xmlns:mc="http://schemas.openxmlformats.org/markup-compatibility/2006">
          <mc:Choice Requires="x14">
            <control shapeId="30728" r:id="rId11" name="Check Box 8">
              <controlPr defaultSize="0" autoFill="0" autoLine="0" autoPict="0">
                <anchor moveWithCells="1">
                  <from>
                    <xdr:col>5</xdr:col>
                    <xdr:colOff>1323975</xdr:colOff>
                    <xdr:row>30</xdr:row>
                    <xdr:rowOff>323850</xdr:rowOff>
                  </from>
                  <to>
                    <xdr:col>6</xdr:col>
                    <xdr:colOff>828675</xdr:colOff>
                    <xdr:row>31</xdr:row>
                    <xdr:rowOff>323850</xdr:rowOff>
                  </to>
                </anchor>
              </controlPr>
            </control>
          </mc:Choice>
        </mc:AlternateContent>
        <mc:AlternateContent xmlns:mc="http://schemas.openxmlformats.org/markup-compatibility/2006">
          <mc:Choice Requires="x14">
            <control shapeId="30729" r:id="rId12" name="Check Box 9">
              <controlPr defaultSize="0" autoFill="0" autoLine="0" autoPict="0">
                <anchor moveWithCells="1">
                  <from>
                    <xdr:col>10</xdr:col>
                    <xdr:colOff>476250</xdr:colOff>
                    <xdr:row>30</xdr:row>
                    <xdr:rowOff>323850</xdr:rowOff>
                  </from>
                  <to>
                    <xdr:col>11</xdr:col>
                    <xdr:colOff>828675</xdr:colOff>
                    <xdr:row>31</xdr:row>
                    <xdr:rowOff>323850</xdr:rowOff>
                  </to>
                </anchor>
              </controlPr>
            </control>
          </mc:Choice>
        </mc:AlternateContent>
        <mc:AlternateContent xmlns:mc="http://schemas.openxmlformats.org/markup-compatibility/2006">
          <mc:Choice Requires="x14">
            <control shapeId="30738" r:id="rId13" name="Check Box 18">
              <controlPr defaultSize="0" autoFill="0" autoLine="0" autoPict="0">
                <anchor moveWithCells="1">
                  <from>
                    <xdr:col>11</xdr:col>
                    <xdr:colOff>1990725</xdr:colOff>
                    <xdr:row>30</xdr:row>
                    <xdr:rowOff>9525</xdr:rowOff>
                  </from>
                  <to>
                    <xdr:col>12</xdr:col>
                    <xdr:colOff>1619250</xdr:colOff>
                    <xdr:row>30</xdr:row>
                    <xdr:rowOff>304800</xdr:rowOff>
                  </to>
                </anchor>
              </controlPr>
            </control>
          </mc:Choice>
        </mc:AlternateContent>
        <mc:AlternateContent xmlns:mc="http://schemas.openxmlformats.org/markup-compatibility/2006">
          <mc:Choice Requires="x14">
            <control shapeId="30739" r:id="rId14" name="Check Box 19">
              <controlPr defaultSize="0" autoFill="0" autoLine="0" autoPict="0">
                <anchor moveWithCells="1">
                  <from>
                    <xdr:col>9</xdr:col>
                    <xdr:colOff>1181100</xdr:colOff>
                    <xdr:row>29</xdr:row>
                    <xdr:rowOff>333375</xdr:rowOff>
                  </from>
                  <to>
                    <xdr:col>11</xdr:col>
                    <xdr:colOff>904875</xdr:colOff>
                    <xdr:row>30</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17"/>
  <sheetViews>
    <sheetView workbookViewId="0">
      <selection activeCell="A9" sqref="A9:C9"/>
    </sheetView>
  </sheetViews>
  <sheetFormatPr defaultRowHeight="15" x14ac:dyDescent="0.25"/>
  <cols>
    <col min="1" max="1" width="27.5703125" style="28" customWidth="1"/>
    <col min="2" max="2" width="54.85546875" style="28" customWidth="1"/>
    <col min="3" max="3" width="14" style="28" customWidth="1"/>
    <col min="4" max="16384" width="9.140625" style="28"/>
  </cols>
  <sheetData>
    <row r="1" spans="1:3" x14ac:dyDescent="0.25">
      <c r="A1" t="s">
        <v>60</v>
      </c>
      <c r="B1" t="s">
        <v>61</v>
      </c>
      <c r="C1" t="s">
        <v>98</v>
      </c>
    </row>
    <row r="2" spans="1:3" x14ac:dyDescent="0.25">
      <c r="A2" t="s">
        <v>99</v>
      </c>
      <c r="B2" t="s">
        <v>100</v>
      </c>
      <c r="C2" s="134">
        <v>6910.71</v>
      </c>
    </row>
    <row r="3" spans="1:3" x14ac:dyDescent="0.25">
      <c r="A3" t="s">
        <v>101</v>
      </c>
      <c r="B3" t="s">
        <v>102</v>
      </c>
      <c r="C3" s="134">
        <v>7165.51</v>
      </c>
    </row>
    <row r="4" spans="1:3" x14ac:dyDescent="0.25">
      <c r="A4" t="s">
        <v>103</v>
      </c>
      <c r="B4" t="s">
        <v>104</v>
      </c>
      <c r="C4" s="134">
        <v>7201.83</v>
      </c>
    </row>
    <row r="5" spans="1:3" x14ac:dyDescent="0.25">
      <c r="A5" t="s">
        <v>105</v>
      </c>
      <c r="B5" t="s">
        <v>106</v>
      </c>
      <c r="C5" s="134">
        <v>7683.8</v>
      </c>
    </row>
    <row r="6" spans="1:3" x14ac:dyDescent="0.25">
      <c r="A6" t="s">
        <v>107</v>
      </c>
      <c r="B6" t="s">
        <v>108</v>
      </c>
      <c r="C6" s="134">
        <v>6996.96</v>
      </c>
    </row>
    <row r="7" spans="1:3" x14ac:dyDescent="0.25">
      <c r="A7" t="s">
        <v>109</v>
      </c>
      <c r="B7" t="s">
        <v>110</v>
      </c>
      <c r="C7" s="134">
        <v>7251.76</v>
      </c>
    </row>
    <row r="8" spans="1:3" x14ac:dyDescent="0.25">
      <c r="A8" t="s">
        <v>111</v>
      </c>
      <c r="B8" t="s">
        <v>112</v>
      </c>
      <c r="C8" s="134">
        <v>7288.08</v>
      </c>
    </row>
    <row r="9" spans="1:3" x14ac:dyDescent="0.25">
      <c r="A9" t="s">
        <v>113</v>
      </c>
      <c r="B9" t="s">
        <v>114</v>
      </c>
      <c r="C9" s="134">
        <v>7770.05</v>
      </c>
    </row>
    <row r="10" spans="1:3" x14ac:dyDescent="0.25">
      <c r="A10" t="s">
        <v>115</v>
      </c>
      <c r="B10" t="s">
        <v>116</v>
      </c>
      <c r="C10" s="134">
        <v>9006</v>
      </c>
    </row>
    <row r="11" spans="1:3" x14ac:dyDescent="0.25">
      <c r="A11" t="s">
        <v>117</v>
      </c>
      <c r="B11" t="s">
        <v>118</v>
      </c>
      <c r="C11" s="134">
        <v>9261.76</v>
      </c>
    </row>
    <row r="12" spans="1:3" x14ac:dyDescent="0.25">
      <c r="A12" t="s">
        <v>119</v>
      </c>
      <c r="B12" t="s">
        <v>120</v>
      </c>
      <c r="C12" s="134">
        <v>9298.08</v>
      </c>
    </row>
    <row r="13" spans="1:3" x14ac:dyDescent="0.25">
      <c r="A13" t="s">
        <v>121</v>
      </c>
      <c r="B13" t="s">
        <v>122</v>
      </c>
      <c r="C13" s="134">
        <v>9790.2199999999993</v>
      </c>
    </row>
    <row r="14" spans="1:3" x14ac:dyDescent="0.25">
      <c r="A14" t="s">
        <v>123</v>
      </c>
      <c r="B14" t="s">
        <v>124</v>
      </c>
      <c r="C14" s="134">
        <v>772.84</v>
      </c>
    </row>
    <row r="15" spans="1:3" x14ac:dyDescent="0.25">
      <c r="A15" t="s">
        <v>125</v>
      </c>
      <c r="B15" t="s">
        <v>126</v>
      </c>
      <c r="C15" s="134">
        <v>477.43</v>
      </c>
    </row>
    <row r="16" spans="1:3" x14ac:dyDescent="0.25">
      <c r="A16" t="s">
        <v>127</v>
      </c>
      <c r="B16" t="s">
        <v>128</v>
      </c>
      <c r="C16" s="134">
        <v>1042.83</v>
      </c>
    </row>
    <row r="17" spans="1:3" x14ac:dyDescent="0.25">
      <c r="A17" t="s">
        <v>129</v>
      </c>
      <c r="B17" t="s">
        <v>130</v>
      </c>
      <c r="C17" s="134">
        <v>547</v>
      </c>
    </row>
    <row r="18" spans="1:3" x14ac:dyDescent="0.25">
      <c r="A18" t="s">
        <v>131</v>
      </c>
      <c r="B18" t="s">
        <v>132</v>
      </c>
      <c r="C18" s="134">
        <v>2529.87</v>
      </c>
    </row>
    <row r="19" spans="1:3" x14ac:dyDescent="0.25">
      <c r="A19" t="s">
        <v>133</v>
      </c>
      <c r="B19" t="s">
        <v>134</v>
      </c>
      <c r="C19" s="134">
        <v>2784.67</v>
      </c>
    </row>
    <row r="20" spans="1:3" x14ac:dyDescent="0.25">
      <c r="A20" t="s">
        <v>135</v>
      </c>
      <c r="B20" t="s">
        <v>136</v>
      </c>
      <c r="C20" s="134">
        <v>3039.82</v>
      </c>
    </row>
    <row r="21" spans="1:3" x14ac:dyDescent="0.25">
      <c r="A21" t="s">
        <v>137</v>
      </c>
      <c r="B21" t="s">
        <v>138</v>
      </c>
      <c r="C21" s="134">
        <v>3294.62</v>
      </c>
    </row>
    <row r="22" spans="1:3" x14ac:dyDescent="0.25">
      <c r="A22" t="s">
        <v>139</v>
      </c>
      <c r="B22" t="s">
        <v>140</v>
      </c>
      <c r="C22" s="134">
        <v>3804.57</v>
      </c>
    </row>
    <row r="23" spans="1:3" x14ac:dyDescent="0.25">
      <c r="A23" t="s">
        <v>141</v>
      </c>
      <c r="B23" t="s">
        <v>142</v>
      </c>
      <c r="C23" s="134">
        <v>2616.17</v>
      </c>
    </row>
    <row r="24" spans="1:3" x14ac:dyDescent="0.25">
      <c r="A24" t="s">
        <v>143</v>
      </c>
      <c r="B24" t="s">
        <v>144</v>
      </c>
      <c r="C24" s="134">
        <v>2870.97</v>
      </c>
    </row>
    <row r="25" spans="1:3" x14ac:dyDescent="0.25">
      <c r="A25" t="s">
        <v>145</v>
      </c>
      <c r="B25" t="s">
        <v>146</v>
      </c>
      <c r="C25" s="134">
        <v>3126.12</v>
      </c>
    </row>
    <row r="26" spans="1:3" x14ac:dyDescent="0.25">
      <c r="A26" t="s">
        <v>147</v>
      </c>
      <c r="B26" t="s">
        <v>148</v>
      </c>
      <c r="C26" s="134">
        <v>3380.92</v>
      </c>
    </row>
    <row r="27" spans="1:3" x14ac:dyDescent="0.25">
      <c r="A27" t="s">
        <v>149</v>
      </c>
      <c r="B27" t="s">
        <v>150</v>
      </c>
      <c r="C27" s="134">
        <v>2657.82</v>
      </c>
    </row>
    <row r="28" spans="1:3" x14ac:dyDescent="0.25">
      <c r="A28" t="s">
        <v>151</v>
      </c>
      <c r="B28" t="s">
        <v>152</v>
      </c>
      <c r="C28" s="134">
        <v>4962.21</v>
      </c>
    </row>
    <row r="29" spans="1:3" x14ac:dyDescent="0.25">
      <c r="A29" t="s">
        <v>153</v>
      </c>
      <c r="B29" t="s">
        <v>154</v>
      </c>
      <c r="C29" s="134">
        <v>5277.63</v>
      </c>
    </row>
    <row r="30" spans="1:3" x14ac:dyDescent="0.25">
      <c r="A30" t="s">
        <v>155</v>
      </c>
      <c r="B30" t="s">
        <v>156</v>
      </c>
      <c r="C30" s="134">
        <v>5081.92</v>
      </c>
    </row>
    <row r="31" spans="1:3" x14ac:dyDescent="0.25">
      <c r="A31" t="s">
        <v>157</v>
      </c>
      <c r="B31" t="s">
        <v>158</v>
      </c>
      <c r="C31" s="134">
        <v>5525.25</v>
      </c>
    </row>
    <row r="32" spans="1:3" x14ac:dyDescent="0.25">
      <c r="A32" t="s">
        <v>159</v>
      </c>
      <c r="B32" t="s">
        <v>160</v>
      </c>
      <c r="C32" s="134">
        <v>6933.27</v>
      </c>
    </row>
    <row r="33" spans="1:3" x14ac:dyDescent="0.25">
      <c r="A33" t="s">
        <v>161</v>
      </c>
      <c r="B33" t="s">
        <v>162</v>
      </c>
      <c r="C33" s="134">
        <v>7095.23</v>
      </c>
    </row>
    <row r="34" spans="1:3" x14ac:dyDescent="0.25">
      <c r="A34" t="s">
        <v>163</v>
      </c>
      <c r="B34" t="s">
        <v>164</v>
      </c>
      <c r="C34" s="134">
        <v>6033.01</v>
      </c>
    </row>
    <row r="35" spans="1:3" x14ac:dyDescent="0.25">
      <c r="A35" t="s">
        <v>165</v>
      </c>
      <c r="B35" t="s">
        <v>166</v>
      </c>
      <c r="C35" s="134">
        <v>6209.05</v>
      </c>
    </row>
    <row r="36" spans="1:3" x14ac:dyDescent="0.25">
      <c r="A36" t="s">
        <v>167</v>
      </c>
      <c r="B36" t="s">
        <v>168</v>
      </c>
      <c r="C36" s="134">
        <v>4157.6899999999996</v>
      </c>
    </row>
    <row r="37" spans="1:3" x14ac:dyDescent="0.25">
      <c r="A37" t="s">
        <v>169</v>
      </c>
      <c r="B37" t="s">
        <v>170</v>
      </c>
      <c r="C37" s="134">
        <v>4219.28</v>
      </c>
    </row>
    <row r="38" spans="1:3" x14ac:dyDescent="0.25">
      <c r="A38" t="s">
        <v>171</v>
      </c>
      <c r="B38" t="s">
        <v>172</v>
      </c>
      <c r="C38" s="134">
        <v>5092.83</v>
      </c>
    </row>
    <row r="39" spans="1:3" x14ac:dyDescent="0.25">
      <c r="A39" t="s">
        <v>173</v>
      </c>
      <c r="B39" t="s">
        <v>174</v>
      </c>
      <c r="C39" s="134">
        <v>4610.92</v>
      </c>
    </row>
    <row r="40" spans="1:3" x14ac:dyDescent="0.25">
      <c r="A40" t="s">
        <v>175</v>
      </c>
      <c r="B40" t="s">
        <v>176</v>
      </c>
      <c r="C40" s="134">
        <v>4255.1899999999996</v>
      </c>
    </row>
    <row r="41" spans="1:3" x14ac:dyDescent="0.25">
      <c r="A41" t="s">
        <v>177</v>
      </c>
      <c r="B41" t="s">
        <v>178</v>
      </c>
      <c r="C41" s="134">
        <v>4553.1000000000004</v>
      </c>
    </row>
    <row r="42" spans="1:3" x14ac:dyDescent="0.25">
      <c r="A42" t="s">
        <v>179</v>
      </c>
      <c r="B42" t="s">
        <v>180</v>
      </c>
      <c r="C42" s="134">
        <v>4371.4399999999996</v>
      </c>
    </row>
    <row r="43" spans="1:3" x14ac:dyDescent="0.25">
      <c r="A43" t="s">
        <v>181</v>
      </c>
      <c r="B43" t="s">
        <v>182</v>
      </c>
      <c r="C43" s="134">
        <v>4801.92</v>
      </c>
    </row>
    <row r="44" spans="1:3" x14ac:dyDescent="0.25">
      <c r="A44" t="s">
        <v>183</v>
      </c>
      <c r="B44" t="s">
        <v>184</v>
      </c>
      <c r="C44" s="134">
        <v>6353.28</v>
      </c>
    </row>
    <row r="45" spans="1:3" x14ac:dyDescent="0.25">
      <c r="A45" t="s">
        <v>185</v>
      </c>
      <c r="B45" t="s">
        <v>186</v>
      </c>
      <c r="C45" s="134">
        <v>6515.24</v>
      </c>
    </row>
    <row r="46" spans="1:3" x14ac:dyDescent="0.25">
      <c r="A46" t="s">
        <v>187</v>
      </c>
      <c r="B46" t="s">
        <v>188</v>
      </c>
      <c r="C46" s="134">
        <v>5682.93</v>
      </c>
    </row>
    <row r="47" spans="1:3" x14ac:dyDescent="0.25">
      <c r="A47" t="s">
        <v>189</v>
      </c>
      <c r="B47" t="s">
        <v>190</v>
      </c>
      <c r="C47" s="134">
        <v>5858.97</v>
      </c>
    </row>
    <row r="48" spans="1:3" x14ac:dyDescent="0.25">
      <c r="A48" t="s">
        <v>191</v>
      </c>
      <c r="B48" t="s">
        <v>192</v>
      </c>
      <c r="C48" s="134">
        <v>3130.15</v>
      </c>
    </row>
    <row r="49" spans="1:3" x14ac:dyDescent="0.25">
      <c r="A49" t="s">
        <v>193</v>
      </c>
      <c r="B49" t="s">
        <v>194</v>
      </c>
      <c r="C49" s="134">
        <v>3160.94</v>
      </c>
    </row>
    <row r="50" spans="1:3" x14ac:dyDescent="0.25">
      <c r="A50" t="s">
        <v>195</v>
      </c>
      <c r="B50" t="s">
        <v>196</v>
      </c>
      <c r="C50" s="134">
        <v>3597.72</v>
      </c>
    </row>
    <row r="51" spans="1:3" x14ac:dyDescent="0.25">
      <c r="A51" t="s">
        <v>197</v>
      </c>
      <c r="B51" t="s">
        <v>198</v>
      </c>
      <c r="C51" s="134">
        <v>4031.88</v>
      </c>
    </row>
    <row r="52" spans="1:3" x14ac:dyDescent="0.25">
      <c r="A52" t="s">
        <v>199</v>
      </c>
      <c r="B52" t="s">
        <v>200</v>
      </c>
      <c r="C52" s="134">
        <v>488.05</v>
      </c>
    </row>
    <row r="53" spans="1:3" x14ac:dyDescent="0.25">
      <c r="A53" t="s">
        <v>201</v>
      </c>
      <c r="B53" t="s">
        <v>202</v>
      </c>
      <c r="C53" s="134">
        <v>488.05</v>
      </c>
    </row>
    <row r="54" spans="1:3" x14ac:dyDescent="0.25">
      <c r="A54" t="s">
        <v>203</v>
      </c>
      <c r="B54" t="s">
        <v>204</v>
      </c>
      <c r="C54" s="134">
        <v>1057.1300000000001</v>
      </c>
    </row>
    <row r="55" spans="1:3" x14ac:dyDescent="0.25">
      <c r="A55" t="s">
        <v>205</v>
      </c>
      <c r="B55" t="s">
        <v>206</v>
      </c>
      <c r="C55" s="134">
        <v>1401.25</v>
      </c>
    </row>
    <row r="56" spans="1:3" x14ac:dyDescent="0.25">
      <c r="A56" t="s">
        <v>207</v>
      </c>
      <c r="B56" t="s">
        <v>208</v>
      </c>
      <c r="C56" s="134">
        <v>1085.45</v>
      </c>
    </row>
    <row r="57" spans="1:3" x14ac:dyDescent="0.25">
      <c r="A57" t="s">
        <v>209</v>
      </c>
      <c r="B57" t="s">
        <v>210</v>
      </c>
      <c r="C57" s="134">
        <v>7429.43</v>
      </c>
    </row>
    <row r="58" spans="1:3" x14ac:dyDescent="0.25">
      <c r="A58" t="s">
        <v>211</v>
      </c>
      <c r="B58" t="s">
        <v>212</v>
      </c>
      <c r="C58" s="134">
        <v>7759.65</v>
      </c>
    </row>
    <row r="59" spans="1:3" x14ac:dyDescent="0.25">
      <c r="A59" t="s">
        <v>213</v>
      </c>
      <c r="B59" t="s">
        <v>214</v>
      </c>
      <c r="C59" s="134">
        <v>9265.08</v>
      </c>
    </row>
    <row r="60" spans="1:3" x14ac:dyDescent="0.25">
      <c r="A60" t="s">
        <v>215</v>
      </c>
      <c r="B60" t="s">
        <v>216</v>
      </c>
      <c r="C60" s="134">
        <v>10600.05</v>
      </c>
    </row>
    <row r="61" spans="1:3" x14ac:dyDescent="0.25">
      <c r="A61" t="s">
        <v>217</v>
      </c>
      <c r="B61" t="s">
        <v>218</v>
      </c>
      <c r="C61" s="134">
        <v>8487.0300000000007</v>
      </c>
    </row>
    <row r="62" spans="1:3" x14ac:dyDescent="0.25">
      <c r="A62" t="s">
        <v>219</v>
      </c>
      <c r="B62" t="s">
        <v>220</v>
      </c>
      <c r="C62" s="134">
        <v>8884.85</v>
      </c>
    </row>
    <row r="63" spans="1:3" x14ac:dyDescent="0.25">
      <c r="A63" t="s">
        <v>221</v>
      </c>
      <c r="B63" t="s">
        <v>222</v>
      </c>
      <c r="C63" s="134">
        <v>1357.52</v>
      </c>
    </row>
    <row r="64" spans="1:3" x14ac:dyDescent="0.25">
      <c r="A64" t="s">
        <v>223</v>
      </c>
      <c r="B64" t="s">
        <v>224</v>
      </c>
      <c r="C64" s="134">
        <v>1225.8800000000001</v>
      </c>
    </row>
    <row r="65" spans="1:3" x14ac:dyDescent="0.25">
      <c r="A65" t="s">
        <v>225</v>
      </c>
      <c r="B65" t="s">
        <v>226</v>
      </c>
      <c r="C65" s="134">
        <v>1282.97</v>
      </c>
    </row>
    <row r="66" spans="1:3" x14ac:dyDescent="0.25">
      <c r="A66" t="s">
        <v>227</v>
      </c>
      <c r="B66" t="s">
        <v>228</v>
      </c>
      <c r="C66" s="134">
        <v>1238.82</v>
      </c>
    </row>
    <row r="67" spans="1:3" x14ac:dyDescent="0.25">
      <c r="A67" t="s">
        <v>229</v>
      </c>
      <c r="B67" t="s">
        <v>230</v>
      </c>
      <c r="C67" s="134">
        <v>1172.3499999999999</v>
      </c>
    </row>
    <row r="68" spans="1:3" x14ac:dyDescent="0.25">
      <c r="A68" t="s">
        <v>231</v>
      </c>
      <c r="B68" t="s">
        <v>232</v>
      </c>
      <c r="C68" s="134">
        <v>1254.8</v>
      </c>
    </row>
    <row r="69" spans="1:3" x14ac:dyDescent="0.25">
      <c r="A69" t="s">
        <v>233</v>
      </c>
      <c r="B69" t="s">
        <v>234</v>
      </c>
      <c r="C69" s="134">
        <v>1314.43</v>
      </c>
    </row>
    <row r="70" spans="1:3" x14ac:dyDescent="0.25">
      <c r="A70" t="s">
        <v>235</v>
      </c>
      <c r="B70" t="s">
        <v>236</v>
      </c>
      <c r="C70" s="134">
        <v>3394.5</v>
      </c>
    </row>
    <row r="71" spans="1:3" x14ac:dyDescent="0.25">
      <c r="A71" t="s">
        <v>237</v>
      </c>
      <c r="B71" t="s">
        <v>238</v>
      </c>
      <c r="C71" s="134">
        <v>3609.02</v>
      </c>
    </row>
    <row r="72" spans="1:3" x14ac:dyDescent="0.25">
      <c r="A72" t="s">
        <v>239</v>
      </c>
      <c r="B72" t="s">
        <v>240</v>
      </c>
      <c r="C72" s="134">
        <v>4089.93</v>
      </c>
    </row>
    <row r="73" spans="1:3" x14ac:dyDescent="0.25">
      <c r="A73" t="s">
        <v>241</v>
      </c>
      <c r="B73" t="s">
        <v>242</v>
      </c>
      <c r="C73" s="134">
        <v>4183.5600000000004</v>
      </c>
    </row>
    <row r="74" spans="1:3" x14ac:dyDescent="0.25">
      <c r="A74" t="s">
        <v>243</v>
      </c>
      <c r="B74" t="s">
        <v>244</v>
      </c>
      <c r="C74" s="134">
        <v>848.59</v>
      </c>
    </row>
    <row r="75" spans="1:3" x14ac:dyDescent="0.25">
      <c r="A75" t="s">
        <v>245</v>
      </c>
      <c r="B75" t="s">
        <v>246</v>
      </c>
      <c r="C75" s="134">
        <v>862.28</v>
      </c>
    </row>
    <row r="76" spans="1:3" x14ac:dyDescent="0.25">
      <c r="A76" t="s">
        <v>247</v>
      </c>
      <c r="B76" t="s">
        <v>248</v>
      </c>
      <c r="C76" s="134">
        <v>5483.3</v>
      </c>
    </row>
    <row r="77" spans="1:3" x14ac:dyDescent="0.25">
      <c r="A77" t="s">
        <v>249</v>
      </c>
      <c r="B77" t="s">
        <v>250</v>
      </c>
      <c r="C77" s="134">
        <v>6333.53</v>
      </c>
    </row>
    <row r="78" spans="1:3" x14ac:dyDescent="0.25">
      <c r="A78" t="s">
        <v>251</v>
      </c>
      <c r="B78" t="s">
        <v>252</v>
      </c>
      <c r="C78" s="134">
        <v>553.25</v>
      </c>
    </row>
    <row r="79" spans="1:3" x14ac:dyDescent="0.25">
      <c r="A79" t="s">
        <v>253</v>
      </c>
      <c r="B79" t="s">
        <v>254</v>
      </c>
      <c r="C79" s="134">
        <v>655.16999999999996</v>
      </c>
    </row>
    <row r="80" spans="1:3" x14ac:dyDescent="0.25">
      <c r="A80" t="s">
        <v>255</v>
      </c>
      <c r="B80" t="s">
        <v>256</v>
      </c>
      <c r="C80" s="134">
        <v>757.23</v>
      </c>
    </row>
    <row r="81" spans="1:3" x14ac:dyDescent="0.25">
      <c r="A81" t="s">
        <v>257</v>
      </c>
      <c r="B81" t="s">
        <v>258</v>
      </c>
      <c r="C81" s="134">
        <v>859.15</v>
      </c>
    </row>
    <row r="82" spans="1:3" x14ac:dyDescent="0.25">
      <c r="A82" t="s">
        <v>259</v>
      </c>
      <c r="B82" t="s">
        <v>260</v>
      </c>
      <c r="C82" s="134">
        <v>961.21</v>
      </c>
    </row>
    <row r="83" spans="1:3" x14ac:dyDescent="0.25">
      <c r="A83" t="s">
        <v>261</v>
      </c>
      <c r="B83" t="s">
        <v>262</v>
      </c>
      <c r="C83" s="134">
        <v>1063.1300000000001</v>
      </c>
    </row>
    <row r="84" spans="1:3" x14ac:dyDescent="0.25">
      <c r="A84" t="s">
        <v>263</v>
      </c>
      <c r="B84" t="s">
        <v>264</v>
      </c>
      <c r="C84" s="134">
        <v>355.65</v>
      </c>
    </row>
    <row r="85" spans="1:3" x14ac:dyDescent="0.25">
      <c r="A85" t="s">
        <v>265</v>
      </c>
      <c r="B85" t="s">
        <v>266</v>
      </c>
      <c r="C85" s="134">
        <v>358.9</v>
      </c>
    </row>
    <row r="86" spans="1:3" x14ac:dyDescent="0.25">
      <c r="A86" t="s">
        <v>267</v>
      </c>
      <c r="B86" t="s">
        <v>268</v>
      </c>
      <c r="C86" s="134">
        <v>478.56</v>
      </c>
    </row>
    <row r="87" spans="1:3" x14ac:dyDescent="0.25">
      <c r="A87" t="s">
        <v>269</v>
      </c>
      <c r="B87" t="s">
        <v>270</v>
      </c>
      <c r="C87" s="134">
        <v>484.87</v>
      </c>
    </row>
    <row r="88" spans="1:3" x14ac:dyDescent="0.25">
      <c r="A88" t="s">
        <v>271</v>
      </c>
      <c r="B88" t="s">
        <v>272</v>
      </c>
      <c r="C88" s="134">
        <v>834.4</v>
      </c>
    </row>
    <row r="89" spans="1:3" x14ac:dyDescent="0.25">
      <c r="A89" t="s">
        <v>273</v>
      </c>
      <c r="B89" t="s">
        <v>274</v>
      </c>
      <c r="C89" s="134">
        <v>874.86</v>
      </c>
    </row>
    <row r="90" spans="1:3" x14ac:dyDescent="0.25">
      <c r="A90" t="s">
        <v>275</v>
      </c>
      <c r="B90" t="s">
        <v>276</v>
      </c>
      <c r="C90" s="134">
        <v>304.52</v>
      </c>
    </row>
    <row r="91" spans="1:3" x14ac:dyDescent="0.25">
      <c r="A91" t="s">
        <v>277</v>
      </c>
      <c r="B91" t="s">
        <v>278</v>
      </c>
      <c r="C91" s="134">
        <v>328.56</v>
      </c>
    </row>
    <row r="92" spans="1:3" x14ac:dyDescent="0.25">
      <c r="A92" t="s">
        <v>279</v>
      </c>
      <c r="B92" t="s">
        <v>280</v>
      </c>
      <c r="C92" s="134">
        <v>341.43</v>
      </c>
    </row>
    <row r="93" spans="1:3" x14ac:dyDescent="0.25">
      <c r="A93" t="s">
        <v>281</v>
      </c>
      <c r="B93" t="s">
        <v>282</v>
      </c>
      <c r="C93" s="134">
        <v>125.65</v>
      </c>
    </row>
    <row r="94" spans="1:3" x14ac:dyDescent="0.25">
      <c r="A94" t="s">
        <v>283</v>
      </c>
      <c r="B94" t="s">
        <v>284</v>
      </c>
      <c r="C94" s="134">
        <v>133.99</v>
      </c>
    </row>
    <row r="95" spans="1:3" x14ac:dyDescent="0.25">
      <c r="A95" t="s">
        <v>285</v>
      </c>
      <c r="B95" t="s">
        <v>286</v>
      </c>
      <c r="C95" s="134">
        <v>133.99</v>
      </c>
    </row>
    <row r="96" spans="1:3" x14ac:dyDescent="0.25">
      <c r="A96" t="s">
        <v>287</v>
      </c>
      <c r="B96" t="s">
        <v>288</v>
      </c>
      <c r="C96" s="134">
        <v>353.96</v>
      </c>
    </row>
    <row r="97" spans="1:3" x14ac:dyDescent="0.25">
      <c r="A97" t="s">
        <v>289</v>
      </c>
      <c r="B97" t="s">
        <v>290</v>
      </c>
      <c r="C97" s="134">
        <v>378</v>
      </c>
    </row>
    <row r="98" spans="1:3" x14ac:dyDescent="0.25">
      <c r="A98" t="s">
        <v>291</v>
      </c>
      <c r="B98" t="s">
        <v>292</v>
      </c>
      <c r="C98" s="134">
        <v>390.87</v>
      </c>
    </row>
    <row r="99" spans="1:3" x14ac:dyDescent="0.25">
      <c r="A99" t="s">
        <v>293</v>
      </c>
      <c r="B99" t="s">
        <v>294</v>
      </c>
      <c r="C99" s="134">
        <v>243.34</v>
      </c>
    </row>
    <row r="100" spans="1:3" x14ac:dyDescent="0.25">
      <c r="A100" t="s">
        <v>295</v>
      </c>
      <c r="B100" t="s">
        <v>296</v>
      </c>
      <c r="C100" s="134">
        <v>209</v>
      </c>
    </row>
    <row r="101" spans="1:3" x14ac:dyDescent="0.25">
      <c r="A101" t="s">
        <v>297</v>
      </c>
      <c r="B101" t="s">
        <v>298</v>
      </c>
      <c r="C101" s="134">
        <v>246.61</v>
      </c>
    </row>
    <row r="102" spans="1:3" x14ac:dyDescent="0.25">
      <c r="A102" t="s">
        <v>299</v>
      </c>
      <c r="B102" t="s">
        <v>300</v>
      </c>
      <c r="C102" s="134">
        <v>363.24</v>
      </c>
    </row>
    <row r="103" spans="1:3" x14ac:dyDescent="0.25">
      <c r="A103" t="s">
        <v>301</v>
      </c>
      <c r="B103" t="s">
        <v>302</v>
      </c>
      <c r="C103" s="134">
        <v>278.98</v>
      </c>
    </row>
    <row r="104" spans="1:3" x14ac:dyDescent="0.25">
      <c r="A104" t="s">
        <v>303</v>
      </c>
      <c r="B104" t="s">
        <v>304</v>
      </c>
      <c r="C104" s="134">
        <v>229.35</v>
      </c>
    </row>
    <row r="105" spans="1:3" x14ac:dyDescent="0.25">
      <c r="A105" t="s">
        <v>305</v>
      </c>
      <c r="B105" t="s">
        <v>306</v>
      </c>
      <c r="C105" s="134">
        <v>420.25</v>
      </c>
    </row>
    <row r="106" spans="1:3" x14ac:dyDescent="0.25">
      <c r="A106" t="s">
        <v>307</v>
      </c>
      <c r="B106" t="s">
        <v>308</v>
      </c>
      <c r="C106" s="134">
        <v>291.23</v>
      </c>
    </row>
    <row r="107" spans="1:3" x14ac:dyDescent="0.25">
      <c r="A107" t="s">
        <v>309</v>
      </c>
      <c r="B107" t="s">
        <v>310</v>
      </c>
      <c r="C107" s="134">
        <v>581.11</v>
      </c>
    </row>
    <row r="108" spans="1:3" x14ac:dyDescent="0.25">
      <c r="A108" t="s">
        <v>311</v>
      </c>
      <c r="B108" t="s">
        <v>312</v>
      </c>
      <c r="C108" s="134">
        <v>305.36</v>
      </c>
    </row>
    <row r="109" spans="1:3" x14ac:dyDescent="0.25">
      <c r="A109" t="s">
        <v>313</v>
      </c>
      <c r="B109" t="s">
        <v>314</v>
      </c>
      <c r="C109" s="134">
        <v>416.08</v>
      </c>
    </row>
    <row r="110" spans="1:3" x14ac:dyDescent="0.25">
      <c r="A110" t="s">
        <v>315</v>
      </c>
      <c r="B110" t="s">
        <v>316</v>
      </c>
      <c r="C110" s="134">
        <v>391.96</v>
      </c>
    </row>
    <row r="111" spans="1:3" x14ac:dyDescent="0.25">
      <c r="A111" t="s">
        <v>317</v>
      </c>
      <c r="B111" t="s">
        <v>318</v>
      </c>
      <c r="C111" s="134">
        <v>244.16</v>
      </c>
    </row>
    <row r="112" spans="1:3" x14ac:dyDescent="0.25">
      <c r="A112" t="s">
        <v>319</v>
      </c>
      <c r="B112" t="s">
        <v>320</v>
      </c>
      <c r="C112" s="134">
        <v>333.7</v>
      </c>
    </row>
    <row r="113" spans="1:3" x14ac:dyDescent="0.25">
      <c r="A113" t="s">
        <v>321</v>
      </c>
      <c r="B113" t="s">
        <v>322</v>
      </c>
      <c r="C113" s="134">
        <v>377.76</v>
      </c>
    </row>
    <row r="114" spans="1:3" x14ac:dyDescent="0.25">
      <c r="A114" t="s">
        <v>323</v>
      </c>
      <c r="B114" t="s">
        <v>324</v>
      </c>
      <c r="C114" s="134">
        <v>175.03</v>
      </c>
    </row>
    <row r="115" spans="1:3" x14ac:dyDescent="0.25">
      <c r="A115" t="s">
        <v>325</v>
      </c>
      <c r="B115" t="s">
        <v>326</v>
      </c>
      <c r="C115" s="134">
        <v>112.08</v>
      </c>
    </row>
    <row r="116" spans="1:3" x14ac:dyDescent="0.25">
      <c r="A116" t="s">
        <v>327</v>
      </c>
      <c r="B116" t="s">
        <v>328</v>
      </c>
      <c r="C116" s="134">
        <v>99.43</v>
      </c>
    </row>
    <row r="117" spans="1:3" x14ac:dyDescent="0.25">
      <c r="A117" t="s">
        <v>329</v>
      </c>
      <c r="B117" t="s">
        <v>330</v>
      </c>
      <c r="C117" s="134">
        <v>131.62</v>
      </c>
    </row>
  </sheetData>
  <sheetProtection selectLockedCell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2</vt:i4>
      </vt:variant>
      <vt:variant>
        <vt:lpstr>Adlandırılmış Aralıklar</vt:lpstr>
      </vt:variant>
      <vt:variant>
        <vt:i4>1</vt:i4>
      </vt:variant>
    </vt:vector>
  </HeadingPairs>
  <TitlesOfParts>
    <vt:vector size="3" baseType="lpstr">
      <vt:lpstr>1</vt:lpstr>
      <vt:lpstr>IcKapiGrubu</vt:lpstr>
      <vt:lpstr>'1'!Yazdırma_Alanı</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2026-03-13T13:43:37Z</dcterms:modified>
</cp:coreProperties>
</file>