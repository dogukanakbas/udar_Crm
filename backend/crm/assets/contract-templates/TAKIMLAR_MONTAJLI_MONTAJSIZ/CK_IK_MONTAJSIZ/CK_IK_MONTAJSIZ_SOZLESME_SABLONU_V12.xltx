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CelikKapiGrubu" sheetId="83" r:id="rId2"/>
  </sheets>
  <externalReferences>
    <externalReference r:id="rId3"/>
  </externalReferences>
  <definedNames>
    <definedName name="_xlnm.Print_Area" localSheetId="0">'1'!$A$1:$M$161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4" i="53" l="1"/>
  <c r="D65" i="53"/>
  <c r="D66" i="53"/>
  <c r="D67" i="53"/>
  <c r="D68" i="53"/>
  <c r="D69" i="53"/>
  <c r="D63" i="53"/>
  <c r="G70" i="53"/>
  <c r="M69" i="53"/>
  <c r="L69" i="53"/>
  <c r="H69" i="53"/>
  <c r="M68" i="53"/>
  <c r="L68" i="53"/>
  <c r="H68" i="53"/>
  <c r="M67" i="53"/>
  <c r="L67" i="53"/>
  <c r="H67" i="53"/>
  <c r="M66" i="53"/>
  <c r="L66" i="53"/>
  <c r="H66" i="53"/>
  <c r="M65" i="53"/>
  <c r="L65" i="53"/>
  <c r="H65" i="53"/>
  <c r="M64" i="53"/>
  <c r="L64" i="53"/>
  <c r="H64" i="53"/>
  <c r="M63" i="53"/>
  <c r="L63" i="53"/>
  <c r="H63" i="53"/>
  <c r="M70" i="53" l="1"/>
  <c r="M71" i="53" s="1"/>
  <c r="M72" i="53" s="1"/>
  <c r="L79" i="53" l="1"/>
  <c r="I95" i="53" l="1"/>
  <c r="J105" i="53"/>
  <c r="D30" i="53"/>
  <c r="H39" i="53"/>
  <c r="H40" i="53"/>
  <c r="H41" i="53"/>
  <c r="H42" i="53"/>
  <c r="D39" i="53"/>
  <c r="D40" i="53"/>
  <c r="D41" i="53"/>
  <c r="D42" i="53"/>
  <c r="H38" i="53"/>
  <c r="D38" i="53"/>
  <c r="L39" i="53"/>
  <c r="L40" i="53"/>
  <c r="L41" i="53"/>
  <c r="L42" i="53"/>
  <c r="L38" i="53"/>
  <c r="M14" i="53" l="1"/>
  <c r="M40" i="53" l="1"/>
  <c r="M41" i="53"/>
  <c r="M42" i="53"/>
  <c r="M39" i="53"/>
  <c r="M38" i="53"/>
  <c r="G43" i="53" l="1"/>
  <c r="M43" i="53" l="1"/>
  <c r="M44" i="53" s="1"/>
  <c r="M45" i="53" s="1"/>
  <c r="L78" i="53" l="1"/>
  <c r="L80" i="53"/>
</calcChain>
</file>

<file path=xl/sharedStrings.xml><?xml version="1.0" encoding="utf-8"?>
<sst xmlns="http://schemas.openxmlformats.org/spreadsheetml/2006/main" count="490" uniqueCount="462">
  <si>
    <t>ÇELİK KAPI</t>
  </si>
  <si>
    <t>Kod</t>
  </si>
  <si>
    <t xml:space="preserve">Satış Birimi </t>
  </si>
  <si>
    <t xml:space="preserve">Ölçü </t>
  </si>
  <si>
    <t>Renk</t>
  </si>
  <si>
    <t>Miktar</t>
  </si>
  <si>
    <t>Birim</t>
  </si>
  <si>
    <t xml:space="preserve">Tutar </t>
  </si>
  <si>
    <t>Adet</t>
  </si>
  <si>
    <t>Tutar Toplam</t>
  </si>
  <si>
    <t>K.D.V. %20</t>
  </si>
  <si>
    <t>* Kasa 1,2 mm - Kanat 1,2 mm Dkp Sac</t>
  </si>
  <si>
    <t xml:space="preserve">Yekün </t>
  </si>
  <si>
    <t>* Monoblok Sistem Daf Kilit</t>
  </si>
  <si>
    <t>* Yüzey 10 mm Pvc Kaplama</t>
  </si>
  <si>
    <t>1- Alıcı özellikleri belirtilen ürünlerinin;talebi doğrultusunda anlaşılmış satış şartlarını da kabul eder.</t>
  </si>
  <si>
    <t>2- Satıcı özellikleri belirtilen ürünlerini;talep doğrultusunda üretimini yapacağını kabul eder.</t>
  </si>
  <si>
    <t>3- Alıcı onayladığı siparişi değiştirmesi halinde firmanın uğrayacağı zararı karşılamak zorundadır.</t>
  </si>
  <si>
    <t xml:space="preserve">4- Ödemesi alınmamış siparişin sözleşmesi imzalanmış dahi olsa üretime alınmayacaktır. Satıcı sorumlu tutulamaz. </t>
  </si>
  <si>
    <t xml:space="preserve">5- Mücbir sebeplerden (yangın+deprem+kaza)kaynaklanan gecikmelerde satıcı mesul tutulamaz. </t>
  </si>
  <si>
    <t>6- Sevk tarihinden 3 gün içinde alıcı tarafından yazılı bildirimde bulunulmadığı takdirde eksiksiz teslim aldığını kabul eder.</t>
  </si>
  <si>
    <t>7- Alıcı sözleşmeyi imzalamadan önce;firmaya (vergi levhası,yetki belgesi,imza sirküleri)eksiksiz beyan eder.</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</si>
  <si>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</si>
  <si>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</si>
  <si>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</si>
  <si>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</si>
  <si>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</si>
  <si>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</si>
  <si>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</si>
  <si>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</si>
  <si>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ÇELİK KAPI GRUBU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</si>
  <si>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</si>
  <si>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</si>
  <si>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</si>
  <si>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</si>
  <si>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</si>
  <si>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</si>
  <si>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</si>
  <si>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</si>
  <si>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</si>
  <si>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</si>
  <si>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</si>
  <si>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</si>
  <si>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</si>
  <si>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</si>
  <si>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</si>
  <si>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</si>
  <si>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</si>
  <si>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</si>
  <si>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</si>
  <si>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</si>
  <si>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</si>
  <si>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</si>
  <si>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</si>
  <si>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</si>
  <si>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</si>
  <si>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</si>
  <si>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9- İşbu sözleşmeden doğacak ihtilaflarda Malatya Mahkemeleri ve İcra Daireleri yetkilidir.</t>
  </si>
  <si>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</si>
  <si>
    <t xml:space="preserve">Liste Fiyatı </t>
  </si>
  <si>
    <t xml:space="preserve">Birim Net Fiyatı </t>
  </si>
  <si>
    <t>SÖZLEŞME</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</si>
  <si>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</si>
  <si>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</si>
  <si>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TSE 12655 belgeli</t>
  </si>
  <si>
    <t>Çelik Kapı Teknik Özellikler Temsilci Tarafından doldurulur.</t>
  </si>
  <si>
    <t xml:space="preserve">kod </t>
  </si>
  <si>
    <t>ürün adı</t>
  </si>
  <si>
    <t xml:space="preserve">birim fiyatı </t>
  </si>
  <si>
    <t>152.06.2004</t>
  </si>
  <si>
    <t>Optima Pro Çelik Kapı Ayarlı 1 ( 2 m² )</t>
  </si>
  <si>
    <t>152.06.2005</t>
  </si>
  <si>
    <t>Optima Pro Çelik Kapı Ayarlı 2( 2 m² )</t>
  </si>
  <si>
    <t>152.06.2006</t>
  </si>
  <si>
    <t>Optima Pro Çelik Kapı Ayarlı 3 ( 2 m² )</t>
  </si>
  <si>
    <t>152.06.2104</t>
  </si>
  <si>
    <t>Trend  Pro Çelik Kapı Ayarlı 1( 2 m² )</t>
  </si>
  <si>
    <t>152.06.2105</t>
  </si>
  <si>
    <t>Trend  Pro Çelik Kapı Ayarlı 2 ( 2 m² )</t>
  </si>
  <si>
    <t>152.06.2106</t>
  </si>
  <si>
    <t>Trend  Pro Çelik Kapı Ayarlı 3 ( 2 m² )</t>
  </si>
  <si>
    <t>152.06.2204</t>
  </si>
  <si>
    <t>Milano Pro Çelik Kapı Ayarlı 1 ( 2 m² )</t>
  </si>
  <si>
    <t>152.06.2205</t>
  </si>
  <si>
    <t>Milano Pro Çelik Kapı Ayarlı 2 ( 2 m² )</t>
  </si>
  <si>
    <t>152.06.2206</t>
  </si>
  <si>
    <t>Milano Pro Çelik Kapı Ayarlı 3 ( 2 m² )</t>
  </si>
  <si>
    <t>152.06.2250</t>
  </si>
  <si>
    <t>Çelik Kapı Kasa (15*20) Kaplama</t>
  </si>
  <si>
    <t>152.06.2251</t>
  </si>
  <si>
    <t>Çelik Kapı Kasa (20*25) Kaplama</t>
  </si>
  <si>
    <t>152.06.2252</t>
  </si>
  <si>
    <t>Çelik Kapı Kasa (25*30) Kaplama</t>
  </si>
  <si>
    <t>152.06.2401</t>
  </si>
  <si>
    <t xml:space="preserve">Lazer Kesim Çelik Kapı : 1 (2 m²) </t>
  </si>
  <si>
    <t>152.06.2402</t>
  </si>
  <si>
    <t xml:space="preserve">Lazer Kesim Çelik Kapı : 2 (2 m²) </t>
  </si>
  <si>
    <t>152.06.2403</t>
  </si>
  <si>
    <t xml:space="preserve">Lazer Kesim Çelik Kapı : 3 (2 m²) </t>
  </si>
  <si>
    <t>152.06.2501</t>
  </si>
  <si>
    <t xml:space="preserve">Dekoratif Çelik Kapı : 1 (2 m²) </t>
  </si>
  <si>
    <t>152.06.2502</t>
  </si>
  <si>
    <t xml:space="preserve">Dekoratif Çelik Kapı : 2 (2 m²) </t>
  </si>
  <si>
    <t>152.06.2503</t>
  </si>
  <si>
    <t xml:space="preserve">Dekoratif Çelik Kapı : 3 (2 m²) </t>
  </si>
  <si>
    <t>152.06.2701</t>
  </si>
  <si>
    <t xml:space="preserve">Acil Çelik Kapı : 1 (2 m²) </t>
  </si>
  <si>
    <t>152.06.2702</t>
  </si>
  <si>
    <t xml:space="preserve">Acil Çelik Kapı : 2 (2 m²) </t>
  </si>
  <si>
    <t>152.06.2703</t>
  </si>
  <si>
    <t xml:space="preserve">Acil Çelik Kapı : 3 (2 m²) </t>
  </si>
  <si>
    <t>152.06.2751</t>
  </si>
  <si>
    <t xml:space="preserve">Acil Çelik Kapı Silindirli : 1 (2 m²) </t>
  </si>
  <si>
    <t>152.06.2752</t>
  </si>
  <si>
    <t xml:space="preserve">Acil Çelik Kapı Silindirli : 2 (2 m²) </t>
  </si>
  <si>
    <t>152.06.2753</t>
  </si>
  <si>
    <t xml:space="preserve">Acil Çelik Kapı Silindirli : 3 (2 m²) </t>
  </si>
  <si>
    <t>152.06.2801</t>
  </si>
  <si>
    <t xml:space="preserve">Yangın TSE EN 16034 Çelik Kapı : 1 (2 m²) </t>
  </si>
  <si>
    <t>152.06.2802</t>
  </si>
  <si>
    <t xml:space="preserve">Yangın TSE EN 16034 Çelik Kapı : 2 (2 m²) </t>
  </si>
  <si>
    <t>152.06.2803</t>
  </si>
  <si>
    <t xml:space="preserve">Yangın TSE EN 16034 Çelik Kapı : 3 (2 m²) </t>
  </si>
  <si>
    <t>152.06.2804</t>
  </si>
  <si>
    <t xml:space="preserve">Toki Yangın TSE Çelik Kapı : 1 (2 m²) </t>
  </si>
  <si>
    <t>152.06.2805</t>
  </si>
  <si>
    <t xml:space="preserve">Toki Yangın TSE Çelik Kapı : 2 (2 m²) </t>
  </si>
  <si>
    <t>152.06.2901</t>
  </si>
  <si>
    <t xml:space="preserve">Toki Çelik Kapı : 1 (2 m²) </t>
  </si>
  <si>
    <t>152.06.2902</t>
  </si>
  <si>
    <t xml:space="preserve">Toki Çelik Kapı : 2 (2 m²) </t>
  </si>
  <si>
    <t>152.06.2903</t>
  </si>
  <si>
    <t xml:space="preserve">Toki DK 1 (20-25*100*220) </t>
  </si>
  <si>
    <t>152.06.2904</t>
  </si>
  <si>
    <t>Toki DK 2 (20-25*100*220) (Duman Sızdırmaz)</t>
  </si>
  <si>
    <t>152.06.2905</t>
  </si>
  <si>
    <t>Toki DK 1 (20-25*100*220) Çift  Menfez</t>
  </si>
  <si>
    <t>152.06.2906</t>
  </si>
  <si>
    <t>Toki DK 4 (20-25*100*220) Tek Menfez</t>
  </si>
  <si>
    <t>152.06.2907</t>
  </si>
  <si>
    <t>Toki DK 5 (20-25*160*220) Çift Menfez</t>
  </si>
  <si>
    <t>152.06.2908</t>
  </si>
  <si>
    <t>Toki DK 6 (20-25*160*220)</t>
  </si>
  <si>
    <t>152.06.2909</t>
  </si>
  <si>
    <t>Toki Çelik Kapı Krom 1(2m2)</t>
  </si>
  <si>
    <t>152.06.2950</t>
  </si>
  <si>
    <t xml:space="preserve">Şaft Kapağı 0,50 m² </t>
  </si>
  <si>
    <t>152.06.2951</t>
  </si>
  <si>
    <t xml:space="preserve">Şaft Kapağı 0,75 m² </t>
  </si>
  <si>
    <t>152.06.2952</t>
  </si>
  <si>
    <t xml:space="preserve">Şaft Kapağı 1,00 m² </t>
  </si>
  <si>
    <t>152.06.2953</t>
  </si>
  <si>
    <t xml:space="preserve">Şaft Kapağı 1,25 m² </t>
  </si>
  <si>
    <t>152.06.2954</t>
  </si>
  <si>
    <t xml:space="preserve">Şaft Kapağı 1,50 m² </t>
  </si>
  <si>
    <t>152.06.2956"</t>
  </si>
  <si>
    <t xml:space="preserve">Şaft Kapağı Pano Tipi 0,50  m² </t>
  </si>
  <si>
    <t>152.06.2957</t>
  </si>
  <si>
    <t xml:space="preserve">Şaft Kapağı Pano Tipi 0,75  m² </t>
  </si>
  <si>
    <t>152.06.2958</t>
  </si>
  <si>
    <t xml:space="preserve">Şaft Kapağı Pano Tipi 1  m² </t>
  </si>
  <si>
    <t>152.06.2959</t>
  </si>
  <si>
    <t xml:space="preserve">Şaft Kapağı Pano Tipi 1,25  m² </t>
  </si>
  <si>
    <t>152.06.2960</t>
  </si>
  <si>
    <t xml:space="preserve">Şaft Kapağı Pano Tipi 1,5  m² </t>
  </si>
  <si>
    <t>151.06.2001</t>
  </si>
  <si>
    <t>Metal İ.K ATipi Ayarlı Kasa 10*15cm (2m2)1.50mm</t>
  </si>
  <si>
    <t>151.06.2002</t>
  </si>
  <si>
    <t>Metal İ.K ATipi Ayarlı Kasa 15*20cm (2m2)1.50mm</t>
  </si>
  <si>
    <t>151.06.2003</t>
  </si>
  <si>
    <t>Metal İ.K ATipi Ayarlı Kasa 20*25cm (2m2)1.50mm</t>
  </si>
  <si>
    <t>151.06.2004</t>
  </si>
  <si>
    <t>Metal İ.K ATipi Ayarlı Kasa 25*30cm (2m2)1.50mm</t>
  </si>
  <si>
    <t>151.06.2201</t>
  </si>
  <si>
    <t>Metal İ.K ATipi Ayarlı Kasa 10*15cm (2m²) 2 mm</t>
  </si>
  <si>
    <t>151.06.2202</t>
  </si>
  <si>
    <t>Metal İ.K ATipi Ayarlı Kasa 15*20cm (2m²) 2 mm</t>
  </si>
  <si>
    <t>151.06.2203</t>
  </si>
  <si>
    <t>Metal İ.K ATipi Ayarlı Kasa 20*25cm (2m²) 2 mm</t>
  </si>
  <si>
    <t>151.06.2204</t>
  </si>
  <si>
    <t>Metal İ.K ATipi Ayarlı Kasa 25*30cm (2m²) 2 mm</t>
  </si>
  <si>
    <t>151.06.2205</t>
  </si>
  <si>
    <t>Metal İ.K ATipi Ayarlı Kasa 30*35cm (2m²) 2 mm</t>
  </si>
  <si>
    <t>151.06.2206</t>
  </si>
  <si>
    <t>Metal İ.K ATipi Ayarlı Kasa 35*40cm (2m²) 2 mm</t>
  </si>
  <si>
    <t>150.06.0726</t>
  </si>
  <si>
    <t xml:space="preserve">ÇK Kale Kilit Takım Fiyat Farkı </t>
  </si>
  <si>
    <t>150.06.0404</t>
  </si>
  <si>
    <t xml:space="preserve">ÇK- Optima-Trend Ahşap Fiyat Farkı </t>
  </si>
  <si>
    <t>150.06.0452</t>
  </si>
  <si>
    <t xml:space="preserve">ÇK-Optima-Milano Ahşap Fiyat Farkı </t>
  </si>
  <si>
    <t>150.06.0417</t>
  </si>
  <si>
    <t>Çk-Trend-Milano Ahşap Fiyat Farkı</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</si>
  <si>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</si>
  <si>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</si>
  <si>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</si>
  <si>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</si>
  <si>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</si>
  <si>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</si>
  <si>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</si>
  <si>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</si>
  <si>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</si>
  <si>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</si>
  <si>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</si>
  <si>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</si>
  <si>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</si>
  <si>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</si>
  <si>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</si>
  <si>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GENEL ŞARTLAR &amp; SÖZLEŞME NOTLARI</t>
  </si>
  <si>
    <t xml:space="preserve">SÖZLEŞME NOTLARI </t>
  </si>
  <si>
    <t>3-</t>
  </si>
  <si>
    <t>4-</t>
  </si>
  <si>
    <t>5-</t>
  </si>
  <si>
    <t>6-</t>
  </si>
  <si>
    <t xml:space="preserve">SÖZLEŞME NUMARASI </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</si>
  <si>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</si>
  <si>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</si>
  <si>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</si>
  <si>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</si>
  <si>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</si>
  <si>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</si>
  <si>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</si>
  <si>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</si>
  <si>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İÇ ODA KAPISI </t>
  </si>
  <si>
    <t>İç Oda Kapısı Teknik Özellikler Temsilci Tarafından doldurulur.</t>
  </si>
  <si>
    <t xml:space="preserve">* 6 mm Pvc Yüzey &amp; Lake </t>
  </si>
  <si>
    <t xml:space="preserve">* Kasa 36 mm Pvc&amp;Lake </t>
  </si>
  <si>
    <t>* Cnc Motifli Model</t>
  </si>
  <si>
    <t xml:space="preserve">* Izgara Seren FingerJoint </t>
  </si>
  <si>
    <t>152.26.001</t>
  </si>
  <si>
    <t>Pvc Membran-1 Kanat-Pvc Kasa 10 cm-9 cm 8 mm Takım</t>
  </si>
  <si>
    <t>152.26.003</t>
  </si>
  <si>
    <t>Pvc Membran- Kanat-Pvc Kasa 12 cm-9 cm 8 mm Takım</t>
  </si>
  <si>
    <t>152.26.005</t>
  </si>
  <si>
    <t>Pvc Membran- Kanat-Pvc Kasa 14 cm-9 cm 8 mm Takım</t>
  </si>
  <si>
    <t>152.26.007</t>
  </si>
  <si>
    <t>Pvc Membran- Kanat-Pvc Kasa 16 cm-9 cm 8 mm Takım</t>
  </si>
  <si>
    <t>152.26.011</t>
  </si>
  <si>
    <t>Pvc Membran-1 Kanat-Pvc Kasa 10 cm-9 cm 10 mm Takım</t>
  </si>
  <si>
    <t>152.26.013</t>
  </si>
  <si>
    <t>Pvc Membran-1 Kanat-Pvc Kasa 12 cm-9 cm 10 mm Takım</t>
  </si>
  <si>
    <t>152.26.015</t>
  </si>
  <si>
    <t>Pvc Membran-1 Kanat-Pvc Kasa 14 cm-9 cm 10 mm Takım</t>
  </si>
  <si>
    <t>152.26.017</t>
  </si>
  <si>
    <t>Pvc Membran-1 Kanat-Pvc Kasa 16 cm-9 cm 10 mm Takım</t>
  </si>
  <si>
    <t>152.26.021</t>
  </si>
  <si>
    <t>Lake-1 Kanat-Pvc Kasa 10 cm-9 cm 10 mm Takım</t>
  </si>
  <si>
    <t>152.26.023</t>
  </si>
  <si>
    <t>Lake-1 Kanat-Pvc Kasa 12 cm-9 cm 10 mm Takım</t>
  </si>
  <si>
    <t>152.26.025</t>
  </si>
  <si>
    <t>Lake-1 Kanat-Pvc Kasa 14 cm-9 cm 10 mm Takım</t>
  </si>
  <si>
    <t>152.26.027</t>
  </si>
  <si>
    <t>Lake-1 Kanat-Pvc Kasa 16 cm-9 cm 10 mm Takım</t>
  </si>
  <si>
    <t>152.26.030</t>
  </si>
  <si>
    <t>Camlı Çıtalı (Cam Hariç) Fiyat Adeti</t>
  </si>
  <si>
    <t>152.26.031</t>
  </si>
  <si>
    <t>Oda&amp;Kilit-Menteşe Takım</t>
  </si>
  <si>
    <t>152.26.032</t>
  </si>
  <si>
    <t xml:space="preserve">Silindirli Kilit Menteşe Takım </t>
  </si>
  <si>
    <t>152.26.033</t>
  </si>
  <si>
    <t>Pervaz Takımı 9cm*18mm Fiyat Farkı Adet</t>
  </si>
  <si>
    <t>152.27.001</t>
  </si>
  <si>
    <t xml:space="preserve">10 CM KASA-9 CM 8 MM Pervaz TAKIM </t>
  </si>
  <si>
    <t>152.27.003</t>
  </si>
  <si>
    <t xml:space="preserve">12 CM KASA-9 CM 8 MM Pervaz TAKIM </t>
  </si>
  <si>
    <t>152.27.005</t>
  </si>
  <si>
    <t xml:space="preserve">14 CM KASA-9 CM 8 MM Pervaz TAKIM </t>
  </si>
  <si>
    <t>152.27.007</t>
  </si>
  <si>
    <t xml:space="preserve">16 CM KASA-9 CM 8 MM Pervaz TAKIM </t>
  </si>
  <si>
    <t>152.27.009</t>
  </si>
  <si>
    <t xml:space="preserve">20 CM KASA-9 CM 8 MM Pervaz TAKIM </t>
  </si>
  <si>
    <t>152.27.011</t>
  </si>
  <si>
    <t xml:space="preserve">10 CM KASA-9 CM 10 MM Pervaz TAKIM </t>
  </si>
  <si>
    <t>152.27.013</t>
  </si>
  <si>
    <t xml:space="preserve">12 CM KASA-9 CM 10 MM Pervaz TAKIM </t>
  </si>
  <si>
    <t>152.27.015</t>
  </si>
  <si>
    <t xml:space="preserve">14 CM KASA-9 CM 10 MM Pervaz TAKIM </t>
  </si>
  <si>
    <t>152.27.017</t>
  </si>
  <si>
    <t xml:space="preserve">16 CM KASA-9 CM 10 MM Pervaz TAKIM </t>
  </si>
  <si>
    <t>152.27.019</t>
  </si>
  <si>
    <t xml:space="preserve">20 CM KASA-9 CM 10 MM Pervaz TAKIM </t>
  </si>
  <si>
    <t>151.10.0001</t>
  </si>
  <si>
    <t>Pvc Camlı Kanat 1- Membran</t>
  </si>
  <si>
    <t>151.10.0002</t>
  </si>
  <si>
    <t xml:space="preserve">Pvc Camlı Kanat 2-Membran </t>
  </si>
  <si>
    <t>151.10.0003</t>
  </si>
  <si>
    <t>Pvc Camlı Kanat 1-Newlıne</t>
  </si>
  <si>
    <t>151.10.0004</t>
  </si>
  <si>
    <t>Pvc Camlı Kanat 2-Newlıne</t>
  </si>
  <si>
    <t>151.10.0005</t>
  </si>
  <si>
    <t>Pvc Camlı Kanat 1- Fugalı</t>
  </si>
  <si>
    <t>151.10.0006</t>
  </si>
  <si>
    <t xml:space="preserve">Pvc Camlı Kanat 2-Fugalı </t>
  </si>
  <si>
    <t>151.10.0007</t>
  </si>
  <si>
    <t>Pvc Camlı Kanat 1- Baroniel</t>
  </si>
  <si>
    <t>151.10.0008</t>
  </si>
  <si>
    <t xml:space="preserve">Pvc Camlı Kanat 2-Baroniel </t>
  </si>
  <si>
    <t>151.10.0025</t>
  </si>
  <si>
    <t>Pvc Camlı Yavru Kanat Membran (20-50 cm)</t>
  </si>
  <si>
    <t>151.10.0028</t>
  </si>
  <si>
    <t>Pvc Camlı Yavru Kanat Newlıne (20-50 cm)</t>
  </si>
  <si>
    <t>151.10.0031</t>
  </si>
  <si>
    <t>Pvc Camlı Yavru Kanat Fugalı (20-50 cm)</t>
  </si>
  <si>
    <t>151.10.0034</t>
  </si>
  <si>
    <t>Pvc Camlı Yavru Kanat Baroniel (20-50 cm)</t>
  </si>
  <si>
    <t>151.10.0037</t>
  </si>
  <si>
    <t xml:space="preserve">Pvc Kapalı Kanat 1-Membran </t>
  </si>
  <si>
    <t>151.10.0038</t>
  </si>
  <si>
    <t xml:space="preserve">Pvc Kapalı Kanat 2-Membran </t>
  </si>
  <si>
    <t>151.10.0039</t>
  </si>
  <si>
    <t xml:space="preserve">Pvc Kapalı Kanat 1-Newlıne </t>
  </si>
  <si>
    <t>151.10.0040</t>
  </si>
  <si>
    <t xml:space="preserve">Pvc Kapalı Kanat 2-Newlıne </t>
  </si>
  <si>
    <t>151.10.0041</t>
  </si>
  <si>
    <t xml:space="preserve">Pvc Kapalı Kanat 1-Fugalı </t>
  </si>
  <si>
    <t>151.10.0042</t>
  </si>
  <si>
    <t xml:space="preserve">Pvc Kapalı Kanat 2-Fugalı </t>
  </si>
  <si>
    <t>151.10.0043</t>
  </si>
  <si>
    <t xml:space="preserve">Pvc Kapalı Kanat 1-Baroniel </t>
  </si>
  <si>
    <t>151.10.0044</t>
  </si>
  <si>
    <t xml:space="preserve">Pvc Kapalı Kanat 2-Baroniel </t>
  </si>
  <si>
    <t>151.10.0061</t>
  </si>
  <si>
    <t>Pvc Kapalı Yavru Kanat Membran (20-50 cm)</t>
  </si>
  <si>
    <t>151.10.0064</t>
  </si>
  <si>
    <t>Pvc Kapalı Yavru Kanat Newlıne (20-50 cm)</t>
  </si>
  <si>
    <t>151.10.0067</t>
  </si>
  <si>
    <t>Pvc Kapalı Yavru Kanat Fugalı (20-50 cm)</t>
  </si>
  <si>
    <t>151.10.0070</t>
  </si>
  <si>
    <t>Pvc Kapalı Yavru Kanat Baroniel (20-50 cm)</t>
  </si>
  <si>
    <t>151.10.0201</t>
  </si>
  <si>
    <t>18*45 Lik Oda Kiliti ve 2mm Menteşe Takımı</t>
  </si>
  <si>
    <t>151.10.0202</t>
  </si>
  <si>
    <t>18*45 Lik Wc Kiliti ve 2mm Menteşe Takımı</t>
  </si>
  <si>
    <t>151.10.0203</t>
  </si>
  <si>
    <t>18*45 Lik Silindirli Kiliti ve 2mm Menteşe Takımı</t>
  </si>
  <si>
    <t>151.10.0204</t>
  </si>
  <si>
    <t>Raylı Kapı Aksesuar ve 2mm Menteşe Takımı</t>
  </si>
  <si>
    <t>151.10.0205</t>
  </si>
  <si>
    <t>18*45Lİk Silindirli Oda Plastik ve 2,5mm Menteşe Takımı</t>
  </si>
  <si>
    <t>151.10.0206</t>
  </si>
  <si>
    <t>Lake Kapalı Kanat 1</t>
  </si>
  <si>
    <t>151.10.0207</t>
  </si>
  <si>
    <t>Lake Kapalı Kanat 2</t>
  </si>
  <si>
    <t>151.10.0208</t>
  </si>
  <si>
    <t>Lake Polikarbon 0,65 m2 Camlı Kanat 2</t>
  </si>
  <si>
    <t>151.10.0209</t>
  </si>
  <si>
    <t>Lake Polikarbon 1,10 m2 Camlı Kanat 2</t>
  </si>
  <si>
    <t>151.10.0210</t>
  </si>
  <si>
    <t>Lake Camlı Kanat 1</t>
  </si>
  <si>
    <t>151.10.0211</t>
  </si>
  <si>
    <t>Lake Camlı Kanat 2</t>
  </si>
  <si>
    <t>151.10.1015</t>
  </si>
  <si>
    <t>İç Kapı Pvc Membran Panel 6 mm 93*210 cm</t>
  </si>
  <si>
    <t>151.10.1020</t>
  </si>
  <si>
    <t>İç Kapı Pvc Membran Panel 6 mm 83*210 cm</t>
  </si>
  <si>
    <t>151.10.1021</t>
  </si>
  <si>
    <t>Pvc Membran Panel 6 mm 83*220 cm</t>
  </si>
  <si>
    <t>151.10.1040</t>
  </si>
  <si>
    <t>Pvc Panel 4 mm 93*210 cm</t>
  </si>
  <si>
    <t>151.10.1045</t>
  </si>
  <si>
    <t>Pvc Panel 4 mm 83*210 cm</t>
  </si>
  <si>
    <t>151.10.1053</t>
  </si>
  <si>
    <t>Pvc Düz Panel 6 mm 83*210 cm</t>
  </si>
  <si>
    <t>151.10.1054</t>
  </si>
  <si>
    <t>Pvc Düz Panel 6 mm 93*210 cm</t>
  </si>
  <si>
    <t>151.10.1055</t>
  </si>
  <si>
    <t>Ham Kapalı Kanat 1</t>
  </si>
  <si>
    <t>151.10.1056</t>
  </si>
  <si>
    <t>Ham Kapalı Kanat 2</t>
  </si>
  <si>
    <t>151.10.1057</t>
  </si>
  <si>
    <t>Ham Camlı Kanat 1</t>
  </si>
  <si>
    <t>151.10.1058</t>
  </si>
  <si>
    <t>Ham Camlı Kanat 2</t>
  </si>
  <si>
    <t>151.10.1059</t>
  </si>
  <si>
    <t>Ham Panel 6mm 83*210 cm</t>
  </si>
  <si>
    <t>151.10.1060</t>
  </si>
  <si>
    <t>Ham Panel 6mm 93*210cm</t>
  </si>
  <si>
    <t>151.10.1061</t>
  </si>
  <si>
    <t>PVC  Kanat Giyotin-1 ( Polikarbon 0,65 m2)</t>
  </si>
  <si>
    <t>151.10.1062</t>
  </si>
  <si>
    <t>PVC  Kanat Giyotin-1( Polikarbon 1,10 m2)</t>
  </si>
  <si>
    <t>151.08.0001</t>
  </si>
  <si>
    <t>Pvc Mdf  Düz Kasa 36 mm 10*210 Cm</t>
  </si>
  <si>
    <t>151.08.0003</t>
  </si>
  <si>
    <t>Pvc Mdf  Düz Kasa 36 mm 12*210 Cm</t>
  </si>
  <si>
    <t>151.08.0005</t>
  </si>
  <si>
    <t>Pvc Mdf  Düz Kasa 36 mm 14*210 Cm</t>
  </si>
  <si>
    <t>151.08.0007</t>
  </si>
  <si>
    <t>Pvc Mdf  Düz Kasa 36 mm 16*210 Cm</t>
  </si>
  <si>
    <t>151.08.0009</t>
  </si>
  <si>
    <t>Pvc Mdf Düz Kasa 36 mm 18*210 Cm</t>
  </si>
  <si>
    <t>151.08.0011</t>
  </si>
  <si>
    <t>Pvc Mdf Düz Kasa 36 mm 20*210 Cm</t>
  </si>
  <si>
    <t>151.08.0401</t>
  </si>
  <si>
    <t>Pvc Plastik Düz Kasa 36 mm 10*210 Cm</t>
  </si>
  <si>
    <t>151.08.0402</t>
  </si>
  <si>
    <t>Pvc Plastik Düz Kasa 36 mm 12*210 Cm</t>
  </si>
  <si>
    <t>151.08.0405</t>
  </si>
  <si>
    <t>Pvc Plastik Bombeli  Kasa 36 mm 15*210 Cm</t>
  </si>
  <si>
    <t>151.08.0407</t>
  </si>
  <si>
    <t>Pvc Plastik Düz Kasa 36 mm 16*210 Cm</t>
  </si>
  <si>
    <t>151.08.0411</t>
  </si>
  <si>
    <t>Pvc Plastik Düz Kasa 36 mm 20*210 Cm</t>
  </si>
  <si>
    <t>151.08.0426</t>
  </si>
  <si>
    <t>Pvc Plastik Düz Kasa 36 mm 20*220 Cm</t>
  </si>
  <si>
    <t>151.08.0701</t>
  </si>
  <si>
    <t xml:space="preserve">Kasa-Pervaz Takım Sarfı 10+12'lük (220 Cm) Pvc MDF </t>
  </si>
  <si>
    <t>151.08.0702</t>
  </si>
  <si>
    <t xml:space="preserve">Kasa-Pervaz Takım Sarfı 14+16 'lik ( 220 Cm) Pvc  MDF </t>
  </si>
  <si>
    <t>151.08.0703</t>
  </si>
  <si>
    <t>Kasa-Pervaz Takım Sarfı 18+20'lik ( 220 Cm)Pvc  MDF</t>
  </si>
  <si>
    <t>151.08.0705</t>
  </si>
  <si>
    <t xml:space="preserve"> Kasa-Pervaz Takım Kartonsuz Sarfı 10+12'lük (220 Cm) Pvc MDF</t>
  </si>
  <si>
    <t>151.08.0706</t>
  </si>
  <si>
    <t xml:space="preserve">Kasa-Pervaz Takım Kartonsuz Sarfı 14+16 'lik </t>
  </si>
  <si>
    <t>151.08.0707</t>
  </si>
  <si>
    <t xml:space="preserve">Kasa-Pervaz Takım Kartonsuz Sarfı 20+22'lik ( 220 Cm)Pvc  MDF </t>
  </si>
  <si>
    <t>151.08.0709</t>
  </si>
  <si>
    <t xml:space="preserve">Kasa-Pervaz Takım  Sarfı 12 'lük ( 220 Cm) Pvc Plastik </t>
  </si>
  <si>
    <t>151.08.0710</t>
  </si>
  <si>
    <t xml:space="preserve"> Kasa-Pervaz Takım  Sarfı 16 'lik ( 220 Cm) Pvc Plastik</t>
  </si>
  <si>
    <t>151.08.0711</t>
  </si>
  <si>
    <t xml:space="preserve">Kasa-Pervaz Takım  Sarfı  20'lik ( 220 Cm) Pvc Plastik </t>
  </si>
  <si>
    <t>151.09.0002</t>
  </si>
  <si>
    <t>Pvc Mdf Düz Pervaz 8*3,5 cm 10 mm 220 Cm</t>
  </si>
  <si>
    <t>151.09.0010</t>
  </si>
  <si>
    <t>Pvc Mdf Düz Pervaz 8*3,5 cm 8 mm 220 Cm</t>
  </si>
  <si>
    <t>151.09.0012</t>
  </si>
  <si>
    <t>Pvc Mdf Düz Pervaz 9*3,5 cm 10 mm 220 Cm</t>
  </si>
  <si>
    <t>151.09.0017</t>
  </si>
  <si>
    <t>Pvc Düz Pervaz 9*3,5 cm 18mm 220 cm</t>
  </si>
  <si>
    <t>151.09.0021</t>
  </si>
  <si>
    <t xml:space="preserve">Pvc Mdf Düz Pervaz 10*3,5 cm 10 mm 210 Cm </t>
  </si>
  <si>
    <t>151.09.0024</t>
  </si>
  <si>
    <t>Pvc Mdf Düz Pervaz 9*3,5 cm 8 mm 210 Cm</t>
  </si>
  <si>
    <t>151.09.0040</t>
  </si>
  <si>
    <t xml:space="preserve">Pvc Mdf Düz Pervaz 16*3,5 cm 8 mm 210 Cm </t>
  </si>
  <si>
    <t>151.09.0094</t>
  </si>
  <si>
    <t xml:space="preserve"> Pvc Mdf Düz Pervaz 9*5 cm 10 mm 220 Cm</t>
  </si>
  <si>
    <t>151.09.0102</t>
  </si>
  <si>
    <t>Pvc Düz Pervaz 10*3,5 cm 8mm 220 cm</t>
  </si>
  <si>
    <t>151.09.0104</t>
  </si>
  <si>
    <t xml:space="preserve">Pvc Mdf Düz Pervaz 9*4,5 cm 10 mm 220 Cm </t>
  </si>
  <si>
    <t>151.09.0334</t>
  </si>
  <si>
    <t xml:space="preserve">Pvc Motifli Pervaz-2- 3,5 220 Cm </t>
  </si>
  <si>
    <t>151.09.0342</t>
  </si>
  <si>
    <t>Pvc Mdf Düz Pervaz 10*3,5 cm 18 mm 220 Cm</t>
  </si>
  <si>
    <t>151.09.0382</t>
  </si>
  <si>
    <t>Pvc  Mdf Süpürgelik 9 cm 10 mm 280 mm</t>
  </si>
  <si>
    <t>151.09.0402</t>
  </si>
  <si>
    <t>PVC.Kap.Düz.Plastik Pervaz 9*4,50 Cm  220 Cm</t>
  </si>
  <si>
    <t>151.09.0408</t>
  </si>
  <si>
    <t>Pvc Kap.Plastik Düz Pervaz 9*7,5 cm 220 cm</t>
  </si>
  <si>
    <t>151.11.0002</t>
  </si>
  <si>
    <t>Pvc Mdf Cam Çıtası 22 mm 2,2*280 cm</t>
  </si>
  <si>
    <t>151.11.0004</t>
  </si>
  <si>
    <t>Ham Mdf Cam Çıtası 22 mm 2,2*280 cm</t>
  </si>
  <si>
    <t>151.11.0006</t>
  </si>
  <si>
    <t>Ham Mdf Dekoratif Damaksız (Özel-2) 10 mm 5*280 cm</t>
  </si>
  <si>
    <t>151.11.0011</t>
  </si>
  <si>
    <t>Pvc Mdf Karolaj Çıtası 10 mm 3*280 cm</t>
  </si>
  <si>
    <t>İÇ ODA GRUBU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</si>
</sst>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7"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i/>
      <sz val="13"/>
      <color rgb="FF000066"/>
      <name val="Times New Roman"/>
      <family val="1"/>
      <charset val="162"/>
    </font>
    <font>
      <b/>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30">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s>
  <cellStyleXfs count="2">
    <xf numFmtId="0" fontId="0" fillId="0" borderId="0"/>
    <xf numFmtId="44" fontId="1" fillId="0" borderId="0" applyFont="0" applyFill="0" applyBorder="0" applyAlignment="0" applyProtection="0"/>
  </cellStyleXfs>
  <cellXfs count="136">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1" fillId="0" borderId="7" xfId="0" applyFont="1" applyBorder="1" applyProtection="1">
      <protection locked="0"/>
    </xf>
    <xf numFmtId="0" fontId="11" fillId="0" borderId="7" xfId="0" applyFont="1" applyBorder="1" applyAlignment="1" applyProtection="1">
      <alignment horizont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44" fontId="8" fillId="0" borderId="0" xfId="1" applyFont="1" applyBorder="1"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23" fillId="0" borderId="28" xfId="0" applyFont="1" applyBorder="1" applyAlignment="1" applyProtection="1">
      <alignment horizontal="center" vertical="center"/>
    </xf>
    <xf numFmtId="0" fontId="23" fillId="0" borderId="26" xfId="0" applyFont="1" applyBorder="1" applyAlignment="1" applyProtection="1">
      <alignment horizontal="center" vertical="center"/>
    </xf>
    <xf numFmtId="0" fontId="23" fillId="0" borderId="27" xfId="0" applyFont="1" applyBorder="1" applyAlignment="1" applyProtection="1">
      <alignment horizontal="center" vertical="center"/>
    </xf>
    <xf numFmtId="0" fontId="24" fillId="0" borderId="1" xfId="0" applyFont="1" applyBorder="1" applyProtection="1">
      <protection locked="0"/>
    </xf>
    <xf numFmtId="0" fontId="24" fillId="0" borderId="11" xfId="0" applyFont="1" applyBorder="1" applyProtection="1">
      <protection locked="0"/>
    </xf>
    <xf numFmtId="0" fontId="3" fillId="0" borderId="0" xfId="0" applyFont="1" applyProtection="1"/>
    <xf numFmtId="44" fontId="13" fillId="0" borderId="29" xfId="0" applyNumberFormat="1" applyFont="1" applyBorder="1" applyAlignment="1" applyProtection="1">
      <alignment horizontal="right"/>
    </xf>
    <xf numFmtId="44" fontId="13" fillId="0" borderId="27"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5" fillId="0" borderId="0" xfId="0" applyFont="1" applyBorder="1" applyAlignment="1" applyProtection="1">
      <alignment horizontal="center" vertical="center"/>
      <protection locked="0"/>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22" fillId="0" borderId="0" xfId="0" applyFont="1" applyAlignment="1" applyProtection="1">
      <alignment horizontal="left" vertical="center"/>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18" fillId="0" borderId="8" xfId="0" applyFont="1" applyBorder="1" applyAlignment="1" applyProtection="1">
      <alignment horizontal="center" vertical="center"/>
    </xf>
    <xf numFmtId="0" fontId="18" fillId="0" borderId="9"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3" xfId="0" applyFont="1" applyBorder="1" applyAlignment="1" applyProtection="1">
      <alignment horizontal="center" vertical="center"/>
    </xf>
    <xf numFmtId="0" fontId="18" fillId="0" borderId="13" xfId="0" applyFont="1" applyBorder="1" applyAlignment="1" applyProtection="1">
      <alignment horizontal="center" vertical="center"/>
    </xf>
    <xf numFmtId="0" fontId="10" fillId="0" borderId="0" xfId="0" applyFont="1" applyAlignment="1" applyProtection="1">
      <alignment horizontal="left" wrapText="1"/>
    </xf>
    <xf numFmtId="0" fontId="25" fillId="0" borderId="21" xfId="0" applyFont="1" applyBorder="1" applyAlignment="1" applyProtection="1">
      <alignment horizontal="center"/>
    </xf>
    <xf numFmtId="0" fontId="25" fillId="0" borderId="23" xfId="0" applyFont="1" applyBorder="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5" fillId="0" borderId="14" xfId="0" applyFont="1" applyBorder="1" applyAlignment="1" applyProtection="1">
      <alignment horizontal="center" vertical="center"/>
      <protection locked="0"/>
    </xf>
    <xf numFmtId="0" fontId="0" fillId="0" borderId="0" xfId="0" applyAlignment="1" applyProtection="1">
      <alignment horizontal="center"/>
    </xf>
    <xf numFmtId="0" fontId="26" fillId="0" borderId="0" xfId="0" applyFont="1" applyAlignment="1" applyProtection="1">
      <alignment horizontal="left"/>
    </xf>
    <xf numFmtId="0" fontId="10" fillId="0" borderId="0" xfId="0" applyFont="1" applyAlignment="1" applyProtection="1">
      <alignment horizontal="left"/>
      <protection locked="0"/>
    </xf>
    <xf numFmtId="0" fontId="18" fillId="0" borderId="2" xfId="0" applyFont="1" applyBorder="1" applyAlignment="1" applyProtection="1">
      <alignment horizontal="center" vertical="center"/>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1020535</xdr:colOff>
      <xdr:row>152</xdr:row>
      <xdr:rowOff>122464</xdr:rowOff>
    </xdr:from>
    <xdr:to>
      <xdr:col>11</xdr:col>
      <xdr:colOff>1755321</xdr:colOff>
      <xdr:row>159</xdr:row>
      <xdr:rowOff>134430</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483178" y="44971607"/>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163286</xdr:colOff>
      <xdr:row>54</xdr:row>
      <xdr:rowOff>54429</xdr:rowOff>
    </xdr:from>
    <xdr:to>
      <xdr:col>3</xdr:col>
      <xdr:colOff>688362</xdr:colOff>
      <xdr:row>59</xdr:row>
      <xdr:rowOff>11042</xdr:rowOff>
    </xdr:to>
    <xdr:pic>
      <xdr:nvPicPr>
        <xdr:cNvPr id="21" name="Resim 20"/>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6" y="16655143"/>
          <a:ext cx="2933540" cy="1657506"/>
        </a:xfrm>
        <a:prstGeom prst="rect">
          <a:avLst/>
        </a:prstGeom>
      </xdr:spPr>
    </xdr:pic>
    <xdr:clientData/>
  </xdr:twoCellAnchor>
  <xdr:twoCellAnchor editAs="oneCell">
    <xdr:from>
      <xdr:col>11</xdr:col>
      <xdr:colOff>353786</xdr:colOff>
      <xdr:row>54</xdr:row>
      <xdr:rowOff>108857</xdr:rowOff>
    </xdr:from>
    <xdr:to>
      <xdr:col>12</xdr:col>
      <xdr:colOff>2241029</xdr:colOff>
      <xdr:row>59</xdr:row>
      <xdr:rowOff>184315</xdr:rowOff>
    </xdr:to>
    <xdr:pic>
      <xdr:nvPicPr>
        <xdr:cNvPr id="22" name="Resim 21"/>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28572" y="16709571"/>
          <a:ext cx="4037171" cy="1776351"/>
        </a:xfrm>
        <a:prstGeom prst="rect">
          <a:avLst/>
        </a:prstGeom>
      </xdr:spPr>
    </xdr:pic>
    <xdr:clientData/>
  </xdr:twoCellAnchor>
  <xdr:twoCellAnchor editAs="oneCell">
    <xdr:from>
      <xdr:col>2</xdr:col>
      <xdr:colOff>1632857</xdr:colOff>
      <xdr:row>49</xdr:row>
      <xdr:rowOff>40821</xdr:rowOff>
    </xdr:from>
    <xdr:to>
      <xdr:col>12</xdr:col>
      <xdr:colOff>217715</xdr:colOff>
      <xdr:row>53</xdr:row>
      <xdr:rowOff>25572</xdr:rowOff>
    </xdr:to>
    <xdr:pic>
      <xdr:nvPicPr>
        <xdr:cNvPr id="23" name="Resim 22"/>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2095500" y="14940642"/>
          <a:ext cx="16246929" cy="134546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furka\OneDrive\Masa&#252;st&#252;\IC_KAPI_SOZLESME_SABLONU_V11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IcKapiGrubu"/>
    </sheetNames>
    <sheetDataSet>
      <sheetData sheetId="0"/>
      <sheetData sheetId="1">
        <row r="1">
          <cell r="A1" t="str">
            <v xml:space="preserve">kod </v>
          </cell>
          <cell r="B1" t="str">
            <v>ürün adı</v>
          </cell>
          <cell r="C1" t="str">
            <v>birim fiyatı</v>
          </cell>
        </row>
        <row r="2">
          <cell r="A2" t="str">
            <v>152.26.001</v>
          </cell>
          <cell r="B2" t="str">
            <v>Pvc Membran-1 Kanat-Pvc Kasa 10 cm-9 cm 8 mm Takım</v>
          </cell>
          <cell r="C2">
            <v>6910.71</v>
          </cell>
        </row>
        <row r="3">
          <cell r="A3" t="str">
            <v>152.26.003</v>
          </cell>
          <cell r="B3" t="str">
            <v>Pvc Membran- Kanat-Pvc Kasa 12 cm-9 cm 8 mm Takım</v>
          </cell>
          <cell r="C3">
            <v>7165.51</v>
          </cell>
        </row>
        <row r="4">
          <cell r="A4" t="str">
            <v>152.26.005</v>
          </cell>
          <cell r="B4" t="str">
            <v>Pvc Membran- Kanat-Pvc Kasa 14 cm-9 cm 8 mm Takım</v>
          </cell>
          <cell r="C4">
            <v>7201.83</v>
          </cell>
        </row>
        <row r="5">
          <cell r="A5" t="str">
            <v>152.26.007</v>
          </cell>
          <cell r="B5" t="str">
            <v>Pvc Membran- Kanat-Pvc Kasa 16 cm-9 cm 8 mm Takım</v>
          </cell>
          <cell r="C5">
            <v>7683.8</v>
          </cell>
        </row>
        <row r="6">
          <cell r="A6" t="str">
            <v>152.26.011</v>
          </cell>
          <cell r="B6" t="str">
            <v>Pvc Membran-1 Kanat-Pvc Kasa 10 cm-9 cm 10 mm Takım</v>
          </cell>
          <cell r="C6">
            <v>6996.96</v>
          </cell>
        </row>
        <row r="7">
          <cell r="A7" t="str">
            <v>152.26.013</v>
          </cell>
          <cell r="B7" t="str">
            <v>Pvc Membran-1 Kanat-Pvc Kasa 12 cm-9 cm 10 mm Takım</v>
          </cell>
          <cell r="C7">
            <v>7251.76</v>
          </cell>
        </row>
        <row r="8">
          <cell r="A8" t="str">
            <v>152.26.015</v>
          </cell>
          <cell r="B8" t="str">
            <v>Pvc Membran-1 Kanat-Pvc Kasa 14 cm-9 cm 10 mm Takım</v>
          </cell>
          <cell r="C8">
            <v>7288.08</v>
          </cell>
        </row>
        <row r="9">
          <cell r="A9" t="str">
            <v>152.26.017</v>
          </cell>
          <cell r="B9" t="str">
            <v>Pvc Membran-1 Kanat-Pvc Kasa 16 cm-9 cm 10 mm Takım</v>
          </cell>
          <cell r="C9">
            <v>7770.05</v>
          </cell>
        </row>
        <row r="10">
          <cell r="A10" t="str">
            <v>152.26.021</v>
          </cell>
          <cell r="B10" t="str">
            <v>Lake-1 Kanat-Pvc Kasa 10 cm-9 cm 10 mm Takım</v>
          </cell>
          <cell r="C10">
            <v>9006</v>
          </cell>
        </row>
        <row r="11">
          <cell r="A11" t="str">
            <v>152.26.023</v>
          </cell>
          <cell r="B11" t="str">
            <v>Lake-1 Kanat-Pvc Kasa 12 cm-9 cm 10 mm Takım</v>
          </cell>
          <cell r="C11">
            <v>9261.76</v>
          </cell>
        </row>
        <row r="12">
          <cell r="A12" t="str">
            <v>152.26.025</v>
          </cell>
          <cell r="B12" t="str">
            <v>Lake-1 Kanat-Pvc Kasa 14 cm-9 cm 10 mm Takım</v>
          </cell>
          <cell r="C12">
            <v>9298.08</v>
          </cell>
        </row>
        <row r="13">
          <cell r="A13" t="str">
            <v>152.26.027</v>
          </cell>
          <cell r="B13" t="str">
            <v>Lake-1 Kanat-Pvc Kasa 16 cm-9 cm 10 mm Takım</v>
          </cell>
          <cell r="C13">
            <v>9790.2199999999993</v>
          </cell>
        </row>
        <row r="14">
          <cell r="A14" t="str">
            <v>152.26.030</v>
          </cell>
          <cell r="B14" t="str">
            <v>Camlı Çıtalı (Cam Hariç) Fiyat Adeti</v>
          </cell>
          <cell r="C14">
            <v>772.84</v>
          </cell>
        </row>
        <row r="15">
          <cell r="A15" t="str">
            <v>152.26.031</v>
          </cell>
          <cell r="B15" t="str">
            <v>Oda&amp;Kilit-Menteşe Takım</v>
          </cell>
          <cell r="C15">
            <v>477.43</v>
          </cell>
        </row>
        <row r="16">
          <cell r="A16" t="str">
            <v>152.26.032</v>
          </cell>
          <cell r="B16" t="str">
            <v xml:space="preserve">Silindirli Kilit Menteşe Takım </v>
          </cell>
          <cell r="C16">
            <v>1042.83</v>
          </cell>
        </row>
        <row r="17">
          <cell r="A17" t="str">
            <v>152.26.033</v>
          </cell>
          <cell r="B17" t="str">
            <v>Pervaz Takımı 9cm*18mm Fiyat Farkı Adet</v>
          </cell>
          <cell r="C17">
            <v>547</v>
          </cell>
        </row>
        <row r="18">
          <cell r="A18" t="str">
            <v>152.27.001</v>
          </cell>
          <cell r="B18" t="str">
            <v xml:space="preserve">10 CM KASA-9 CM 8 MM Pervaz TAKIM </v>
          </cell>
          <cell r="C18">
            <v>2529.87</v>
          </cell>
        </row>
        <row r="19">
          <cell r="A19" t="str">
            <v>152.27.003</v>
          </cell>
          <cell r="B19" t="str">
            <v xml:space="preserve">12 CM KASA-9 CM 8 MM Pervaz TAKIM </v>
          </cell>
          <cell r="C19">
            <v>2784.67</v>
          </cell>
        </row>
        <row r="20">
          <cell r="A20" t="str">
            <v>152.27.005</v>
          </cell>
          <cell r="B20" t="str">
            <v xml:space="preserve">14 CM KASA-9 CM 8 MM Pervaz TAKIM </v>
          </cell>
          <cell r="C20">
            <v>3039.82</v>
          </cell>
        </row>
        <row r="21">
          <cell r="A21" t="str">
            <v>152.27.007</v>
          </cell>
          <cell r="B21" t="str">
            <v xml:space="preserve">16 CM KASA-9 CM 8 MM Pervaz TAKIM </v>
          </cell>
          <cell r="C21">
            <v>3294.62</v>
          </cell>
        </row>
        <row r="22">
          <cell r="A22" t="str">
            <v>152.27.009</v>
          </cell>
          <cell r="B22" t="str">
            <v xml:space="preserve">20 CM KASA-9 CM 8 MM Pervaz TAKIM </v>
          </cell>
          <cell r="C22">
            <v>3804.57</v>
          </cell>
        </row>
        <row r="23">
          <cell r="A23" t="str">
            <v>152.27.011</v>
          </cell>
          <cell r="B23" t="str">
            <v xml:space="preserve">10 CM KASA-9 CM 10 MM Pervaz TAKIM </v>
          </cell>
          <cell r="C23">
            <v>2616.17</v>
          </cell>
        </row>
        <row r="24">
          <cell r="A24" t="str">
            <v>152.27.013</v>
          </cell>
          <cell r="B24" t="str">
            <v xml:space="preserve">12 CM KASA-9 CM 10 MM Pervaz TAKIM </v>
          </cell>
          <cell r="C24">
            <v>2870.97</v>
          </cell>
        </row>
        <row r="25">
          <cell r="A25" t="str">
            <v>152.27.015</v>
          </cell>
          <cell r="B25" t="str">
            <v xml:space="preserve">14 CM KASA-9 CM 10 MM Pervaz TAKIM </v>
          </cell>
          <cell r="C25">
            <v>3126.12</v>
          </cell>
        </row>
        <row r="26">
          <cell r="A26" t="str">
            <v>152.27.017</v>
          </cell>
          <cell r="B26" t="str">
            <v xml:space="preserve">16 CM KASA-9 CM 10 MM Pervaz TAKIM </v>
          </cell>
          <cell r="C26">
            <v>3380.92</v>
          </cell>
        </row>
        <row r="27">
          <cell r="A27" t="str">
            <v>152.27.019</v>
          </cell>
          <cell r="B27" t="str">
            <v xml:space="preserve">20 CM KASA-9 CM 10 MM Pervaz TAKIM </v>
          </cell>
          <cell r="C27">
            <v>2657.82</v>
          </cell>
        </row>
        <row r="28">
          <cell r="A28" t="str">
            <v>151.10.0001</v>
          </cell>
          <cell r="B28" t="str">
            <v>Pvc Camlı Kanat 1- Membran</v>
          </cell>
          <cell r="C28">
            <v>4962.21</v>
          </cell>
        </row>
        <row r="29">
          <cell r="A29" t="str">
            <v>151.10.0002</v>
          </cell>
          <cell r="B29" t="str">
            <v xml:space="preserve">Pvc Camlı Kanat 2-Membran </v>
          </cell>
          <cell r="C29">
            <v>5277.63</v>
          </cell>
        </row>
        <row r="30">
          <cell r="A30" t="str">
            <v>151.10.0003</v>
          </cell>
          <cell r="B30" t="str">
            <v>Pvc Camlı Kanat 1-Newlıne</v>
          </cell>
          <cell r="C30">
            <v>5081.92</v>
          </cell>
        </row>
        <row r="31">
          <cell r="A31" t="str">
            <v>151.10.0004</v>
          </cell>
          <cell r="B31" t="str">
            <v>Pvc Camlı Kanat 2-Newlıne</v>
          </cell>
          <cell r="C31">
            <v>5525.25</v>
          </cell>
        </row>
        <row r="32">
          <cell r="A32" t="str">
            <v>151.10.0005</v>
          </cell>
          <cell r="B32" t="str">
            <v>Pvc Camlı Kanat 1- Fugalı</v>
          </cell>
          <cell r="C32">
            <v>6933.27</v>
          </cell>
        </row>
        <row r="33">
          <cell r="A33" t="str">
            <v>151.10.0006</v>
          </cell>
          <cell r="B33" t="str">
            <v xml:space="preserve">Pvc Camlı Kanat 2-Fugalı </v>
          </cell>
          <cell r="C33">
            <v>7095.23</v>
          </cell>
        </row>
        <row r="34">
          <cell r="A34" t="str">
            <v>151.10.0007</v>
          </cell>
          <cell r="B34" t="str">
            <v>Pvc Camlı Kanat 1- Baroniel</v>
          </cell>
          <cell r="C34">
            <v>6033.01</v>
          </cell>
        </row>
        <row r="35">
          <cell r="A35" t="str">
            <v>151.10.0008</v>
          </cell>
          <cell r="B35" t="str">
            <v xml:space="preserve">Pvc Camlı Kanat 2-Baroniel </v>
          </cell>
          <cell r="C35">
            <v>6209.05</v>
          </cell>
        </row>
        <row r="36">
          <cell r="A36" t="str">
            <v>151.10.0025</v>
          </cell>
          <cell r="B36" t="str">
            <v>Pvc Camlı Yavru Kanat Membran (20-50 cm)</v>
          </cell>
          <cell r="C36">
            <v>4157.6899999999996</v>
          </cell>
        </row>
        <row r="37">
          <cell r="A37" t="str">
            <v>151.10.0028</v>
          </cell>
          <cell r="B37" t="str">
            <v>Pvc Camlı Yavru Kanat Newlıne (20-50 cm)</v>
          </cell>
          <cell r="C37">
            <v>4219.28</v>
          </cell>
        </row>
        <row r="38">
          <cell r="A38" t="str">
            <v>151.10.0031</v>
          </cell>
          <cell r="B38" t="str">
            <v>Pvc Camlı Yavru Kanat Fugalı (20-50 cm)</v>
          </cell>
          <cell r="C38">
            <v>5092.83</v>
          </cell>
        </row>
        <row r="39">
          <cell r="A39" t="str">
            <v>151.10.0034</v>
          </cell>
          <cell r="B39" t="str">
            <v>Pvc Camlı Yavru Kanat Baroniel (20-50 cm)</v>
          </cell>
          <cell r="C39">
            <v>4610.92</v>
          </cell>
        </row>
        <row r="40">
          <cell r="A40" t="str">
            <v>151.10.0037</v>
          </cell>
          <cell r="B40" t="str">
            <v xml:space="preserve">Pvc Kapalı Kanat 1-Membran </v>
          </cell>
          <cell r="C40">
            <v>4255.1899999999996</v>
          </cell>
        </row>
        <row r="41">
          <cell r="A41" t="str">
            <v>151.10.0038</v>
          </cell>
          <cell r="B41" t="str">
            <v xml:space="preserve">Pvc Kapalı Kanat 2-Membran </v>
          </cell>
          <cell r="C41">
            <v>4553.1000000000004</v>
          </cell>
        </row>
        <row r="42">
          <cell r="A42" t="str">
            <v>151.10.0039</v>
          </cell>
          <cell r="B42" t="str">
            <v xml:space="preserve">Pvc Kapalı Kanat 1-Newlıne </v>
          </cell>
          <cell r="C42">
            <v>4371.4399999999996</v>
          </cell>
        </row>
        <row r="43">
          <cell r="A43" t="str">
            <v>151.10.0040</v>
          </cell>
          <cell r="B43" t="str">
            <v xml:space="preserve">Pvc Kapalı Kanat 2-Newlıne </v>
          </cell>
          <cell r="C43">
            <v>4801.92</v>
          </cell>
        </row>
        <row r="44">
          <cell r="A44" t="str">
            <v>151.10.0041</v>
          </cell>
          <cell r="B44" t="str">
            <v xml:space="preserve">Pvc Kapalı Kanat 1-Fugalı </v>
          </cell>
          <cell r="C44">
            <v>6353.28</v>
          </cell>
        </row>
        <row r="45">
          <cell r="A45" t="str">
            <v>151.10.0042</v>
          </cell>
          <cell r="B45" t="str">
            <v xml:space="preserve">Pvc Kapalı Kanat 2-Fugalı </v>
          </cell>
          <cell r="C45">
            <v>6515.24</v>
          </cell>
        </row>
        <row r="46">
          <cell r="A46" t="str">
            <v>151.10.0043</v>
          </cell>
          <cell r="B46" t="str">
            <v xml:space="preserve">Pvc Kapalı Kanat 1-Baroniel </v>
          </cell>
          <cell r="C46">
            <v>5682.93</v>
          </cell>
        </row>
        <row r="47">
          <cell r="A47" t="str">
            <v>151.10.0044</v>
          </cell>
          <cell r="B47" t="str">
            <v xml:space="preserve">Pvc Kapalı Kanat 2-Baroniel </v>
          </cell>
          <cell r="C47">
            <v>5858.97</v>
          </cell>
        </row>
        <row r="48">
          <cell r="A48" t="str">
            <v>151.10.0061</v>
          </cell>
          <cell r="B48" t="str">
            <v>Pvc Kapalı Yavru Kanat Membran (20-50 cm)</v>
          </cell>
          <cell r="C48">
            <v>3130.15</v>
          </cell>
        </row>
        <row r="49">
          <cell r="A49" t="str">
            <v>151.10.0064</v>
          </cell>
          <cell r="B49" t="str">
            <v>Pvc Kapalı Yavru Kanat Newlıne (20-50 cm)</v>
          </cell>
          <cell r="C49">
            <v>3160.94</v>
          </cell>
        </row>
        <row r="50">
          <cell r="A50" t="str">
            <v>151.10.0067</v>
          </cell>
          <cell r="B50" t="str">
            <v>Pvc Kapalı Yavru Kanat Fugalı (20-50 cm)</v>
          </cell>
          <cell r="C50">
            <v>3597.72</v>
          </cell>
        </row>
        <row r="51">
          <cell r="A51" t="str">
            <v>151.10.0070</v>
          </cell>
          <cell r="B51" t="str">
            <v>Pvc Kapalı Yavru Kanat Baroniel (20-50 cm)</v>
          </cell>
          <cell r="C51">
            <v>4031.88</v>
          </cell>
        </row>
        <row r="52">
          <cell r="A52" t="str">
            <v>151.10.0201</v>
          </cell>
          <cell r="B52" t="str">
            <v>18*45 Lik Oda Kiliti ve 2mm Menteşe Takımı</v>
          </cell>
          <cell r="C52">
            <v>488.05</v>
          </cell>
        </row>
        <row r="53">
          <cell r="A53" t="str">
            <v>151.10.0202</v>
          </cell>
          <cell r="B53" t="str">
            <v>18*45 Lik Wc Kiliti ve 2mm Menteşe Takımı</v>
          </cell>
          <cell r="C53">
            <v>488.05</v>
          </cell>
        </row>
        <row r="54">
          <cell r="A54" t="str">
            <v>151.10.0203</v>
          </cell>
          <cell r="B54" t="str">
            <v>18*45 Lik Silindirli Kiliti ve 2mm Menteşe Takımı</v>
          </cell>
          <cell r="C54">
            <v>1057.1300000000001</v>
          </cell>
        </row>
        <row r="55">
          <cell r="A55" t="str">
            <v>151.10.0204</v>
          </cell>
          <cell r="B55" t="str">
            <v>Raylı Kapı Aksesuar ve 2mm Menteşe Takımı</v>
          </cell>
          <cell r="C55">
            <v>1401.25</v>
          </cell>
        </row>
        <row r="56">
          <cell r="A56" t="str">
            <v>151.10.0205</v>
          </cell>
          <cell r="B56" t="str">
            <v>18*45Lİk Silindirli Oda Plastik ve 2,5mm Menteşe Takımı</v>
          </cell>
          <cell r="C56">
            <v>1085.45</v>
          </cell>
        </row>
        <row r="57">
          <cell r="A57" t="str">
            <v>151.10.0206</v>
          </cell>
          <cell r="B57" t="str">
            <v>Lake Kapalı Kanat 1</v>
          </cell>
          <cell r="C57">
            <v>7429.43</v>
          </cell>
        </row>
        <row r="58">
          <cell r="A58" t="str">
            <v>151.10.0207</v>
          </cell>
          <cell r="B58" t="str">
            <v>Lake Kapalı Kanat 2</v>
          </cell>
          <cell r="C58">
            <v>7759.65</v>
          </cell>
        </row>
        <row r="59">
          <cell r="A59" t="str">
            <v>151.10.0208</v>
          </cell>
          <cell r="B59" t="str">
            <v>Lake Polikarbon 0,65 m2 Camlı Kanat 2</v>
          </cell>
          <cell r="C59">
            <v>9265.08</v>
          </cell>
        </row>
        <row r="60">
          <cell r="A60" t="str">
            <v>151.10.0209</v>
          </cell>
          <cell r="B60" t="str">
            <v>Lake Polikarbon 1,10 m2 Camlı Kanat 2</v>
          </cell>
          <cell r="C60">
            <v>10600.05</v>
          </cell>
        </row>
        <row r="61">
          <cell r="A61" t="str">
            <v>151.10.0210</v>
          </cell>
          <cell r="B61" t="str">
            <v>Lake Camlı Kanat 1</v>
          </cell>
          <cell r="C61">
            <v>8487.0300000000007</v>
          </cell>
        </row>
        <row r="62">
          <cell r="A62" t="str">
            <v>151.10.0211</v>
          </cell>
          <cell r="B62" t="str">
            <v>Lake Camlı Kanat 2</v>
          </cell>
          <cell r="C62">
            <v>8884.85</v>
          </cell>
        </row>
        <row r="63">
          <cell r="A63" t="str">
            <v>151.10.1015</v>
          </cell>
          <cell r="B63" t="str">
            <v>İç Kapı Pvc Membran Panel 6 mm 93*210 cm</v>
          </cell>
          <cell r="C63">
            <v>1357.52</v>
          </cell>
        </row>
        <row r="64">
          <cell r="A64" t="str">
            <v>151.10.1020</v>
          </cell>
          <cell r="B64" t="str">
            <v>İç Kapı Pvc Membran Panel 6 mm 83*210 cm</v>
          </cell>
          <cell r="C64">
            <v>1225.8800000000001</v>
          </cell>
        </row>
        <row r="65">
          <cell r="A65" t="str">
            <v>151.10.1021</v>
          </cell>
          <cell r="B65" t="str">
            <v>Pvc Membran Panel 6 mm 83*220 cm</v>
          </cell>
          <cell r="C65">
            <v>1282.97</v>
          </cell>
        </row>
        <row r="66">
          <cell r="A66" t="str">
            <v>151.10.1040</v>
          </cell>
          <cell r="B66" t="str">
            <v>Pvc Panel 4 mm 93*210 cm</v>
          </cell>
          <cell r="C66">
            <v>1238.82</v>
          </cell>
        </row>
        <row r="67">
          <cell r="A67" t="str">
            <v>151.10.1045</v>
          </cell>
          <cell r="B67" t="str">
            <v>Pvc Panel 4 mm 83*210 cm</v>
          </cell>
          <cell r="C67">
            <v>1172.3499999999999</v>
          </cell>
        </row>
        <row r="68">
          <cell r="A68" t="str">
            <v>151.10.1053</v>
          </cell>
          <cell r="B68" t="str">
            <v>Pvc Düz Panel 6 mm 83*210 cm</v>
          </cell>
          <cell r="C68">
            <v>1254.8</v>
          </cell>
        </row>
        <row r="69">
          <cell r="A69" t="str">
            <v>151.10.1054</v>
          </cell>
          <cell r="B69" t="str">
            <v>Pvc Düz Panel 6 mm 93*210 cm</v>
          </cell>
          <cell r="C69">
            <v>1314.43</v>
          </cell>
        </row>
        <row r="70">
          <cell r="A70" t="str">
            <v>151.10.1055</v>
          </cell>
          <cell r="B70" t="str">
            <v>Ham Kapalı Kanat 1</v>
          </cell>
          <cell r="C70">
            <v>3394.5</v>
          </cell>
        </row>
        <row r="71">
          <cell r="A71" t="str">
            <v>151.10.1056</v>
          </cell>
          <cell r="B71" t="str">
            <v>Ham Kapalı Kanat 2</v>
          </cell>
          <cell r="C71">
            <v>3609.02</v>
          </cell>
        </row>
        <row r="72">
          <cell r="A72" t="str">
            <v>151.10.1057</v>
          </cell>
          <cell r="B72" t="str">
            <v>Ham Camlı Kanat 1</v>
          </cell>
          <cell r="C72">
            <v>4089.93</v>
          </cell>
        </row>
        <row r="73">
          <cell r="A73" t="str">
            <v>151.10.1058</v>
          </cell>
          <cell r="B73" t="str">
            <v>Ham Camlı Kanat 2</v>
          </cell>
          <cell r="C73">
            <v>4183.5600000000004</v>
          </cell>
        </row>
        <row r="74">
          <cell r="A74" t="str">
            <v>151.10.1059</v>
          </cell>
          <cell r="B74" t="str">
            <v>Ham Panel 6mm 83*210 cm</v>
          </cell>
          <cell r="C74">
            <v>848.59</v>
          </cell>
        </row>
        <row r="75">
          <cell r="A75" t="str">
            <v>151.10.1060</v>
          </cell>
          <cell r="B75" t="str">
            <v>Ham Panel 6mm 93*210cm</v>
          </cell>
          <cell r="C75">
            <v>862.28</v>
          </cell>
        </row>
        <row r="76">
          <cell r="A76" t="str">
            <v>151.10.1061</v>
          </cell>
          <cell r="B76" t="str">
            <v>PVC  Kanat Giyotin-1 ( Polikarbon 0,65 m2)</v>
          </cell>
          <cell r="C76">
            <v>5483.3</v>
          </cell>
        </row>
        <row r="77">
          <cell r="A77" t="str">
            <v>151.10.1062</v>
          </cell>
          <cell r="B77" t="str">
            <v>PVC  Kanat Giyotin-1( Polikarbon 1,10 m2)</v>
          </cell>
          <cell r="C77">
            <v>6333.53</v>
          </cell>
        </row>
        <row r="78">
          <cell r="A78" t="str">
            <v>151.08.0001</v>
          </cell>
          <cell r="B78" t="str">
            <v>Pvc Mdf  Düz Kasa 36 mm 10*210 Cm</v>
          </cell>
          <cell r="C78">
            <v>553.25</v>
          </cell>
        </row>
        <row r="79">
          <cell r="A79" t="str">
            <v>151.08.0003</v>
          </cell>
          <cell r="B79" t="str">
            <v>Pvc Mdf  Düz Kasa 36 mm 12*210 Cm</v>
          </cell>
          <cell r="C79">
            <v>655.16999999999996</v>
          </cell>
        </row>
        <row r="80">
          <cell r="A80" t="str">
            <v>151.08.0005</v>
          </cell>
          <cell r="B80" t="str">
            <v>Pvc Mdf  Düz Kasa 36 mm 14*210 Cm</v>
          </cell>
          <cell r="C80">
            <v>757.23</v>
          </cell>
        </row>
        <row r="81">
          <cell r="A81" t="str">
            <v>151.08.0007</v>
          </cell>
          <cell r="B81" t="str">
            <v>Pvc Mdf  Düz Kasa 36 mm 16*210 Cm</v>
          </cell>
          <cell r="C81">
            <v>859.15</v>
          </cell>
        </row>
        <row r="82">
          <cell r="A82" t="str">
            <v>151.08.0009</v>
          </cell>
          <cell r="B82" t="str">
            <v>Pvc Mdf Düz Kasa 36 mm 18*210 Cm</v>
          </cell>
          <cell r="C82">
            <v>961.21</v>
          </cell>
        </row>
        <row r="83">
          <cell r="A83" t="str">
            <v>151.08.0011</v>
          </cell>
          <cell r="B83" t="str">
            <v>Pvc Mdf Düz Kasa 36 mm 20*210 Cm</v>
          </cell>
          <cell r="C83">
            <v>1063.1300000000001</v>
          </cell>
        </row>
        <row r="84">
          <cell r="A84" t="str">
            <v>151.08.0401</v>
          </cell>
          <cell r="B84" t="str">
            <v>Pvc Plastik Düz Kasa 36 mm 10*210 Cm</v>
          </cell>
          <cell r="C84">
            <v>355.65</v>
          </cell>
        </row>
        <row r="85">
          <cell r="A85" t="str">
            <v>151.08.0402</v>
          </cell>
          <cell r="B85" t="str">
            <v>Pvc Plastik Düz Kasa 36 mm 12*210 Cm</v>
          </cell>
          <cell r="C85">
            <v>358.9</v>
          </cell>
        </row>
        <row r="86">
          <cell r="A86" t="str">
            <v>151.08.0405</v>
          </cell>
          <cell r="B86" t="str">
            <v>Pvc Plastik Bombeli  Kasa 36 mm 15*210 Cm</v>
          </cell>
          <cell r="C86">
            <v>478.56</v>
          </cell>
        </row>
        <row r="87">
          <cell r="A87" t="str">
            <v>151.08.0407</v>
          </cell>
          <cell r="B87" t="str">
            <v>Pvc Plastik Düz Kasa 36 mm 16*210 Cm</v>
          </cell>
          <cell r="C87">
            <v>484.87</v>
          </cell>
        </row>
        <row r="88">
          <cell r="A88" t="str">
            <v>151.08.0411</v>
          </cell>
          <cell r="B88" t="str">
            <v>Pvc Plastik Düz Kasa 36 mm 20*210 Cm</v>
          </cell>
          <cell r="C88">
            <v>834.4</v>
          </cell>
        </row>
        <row r="89">
          <cell r="A89" t="str">
            <v>151.08.0426</v>
          </cell>
          <cell r="B89" t="str">
            <v>Pvc Plastik Düz Kasa 36 mm 20*220 Cm</v>
          </cell>
          <cell r="C89">
            <v>874.86</v>
          </cell>
        </row>
        <row r="90">
          <cell r="A90" t="str">
            <v>151.08.0701</v>
          </cell>
          <cell r="B90" t="str">
            <v xml:space="preserve">Kasa-Pervaz Takım Sarfı 10+12'lük (220 Cm) Pvc MDF </v>
          </cell>
          <cell r="C90">
            <v>304.52</v>
          </cell>
        </row>
        <row r="91">
          <cell r="A91" t="str">
            <v>151.08.0702</v>
          </cell>
          <cell r="B91" t="str">
            <v xml:space="preserve">Kasa-Pervaz Takım Sarfı 14+16 'lik ( 220 Cm) Pvc  MDF </v>
          </cell>
          <cell r="C91">
            <v>328.56</v>
          </cell>
        </row>
        <row r="92">
          <cell r="A92" t="str">
            <v>151.08.0703</v>
          </cell>
          <cell r="B92" t="str">
            <v>Kasa-Pervaz Takım Sarfı 18+20'lik ( 220 Cm)Pvc  MDF</v>
          </cell>
          <cell r="C92">
            <v>341.43</v>
          </cell>
        </row>
        <row r="93">
          <cell r="A93" t="str">
            <v>151.08.0705</v>
          </cell>
          <cell r="B93" t="str">
            <v xml:space="preserve"> Kasa-Pervaz Takım Kartonsuz Sarfı 10+12'lük (220 Cm) Pvc MDF</v>
          </cell>
          <cell r="C93">
            <v>125.65</v>
          </cell>
        </row>
        <row r="94">
          <cell r="A94" t="str">
            <v>151.08.0706</v>
          </cell>
          <cell r="B94" t="str">
            <v xml:space="preserve">Kasa-Pervaz Takım Kartonsuz Sarfı 14+16 'lik </v>
          </cell>
          <cell r="C94">
            <v>133.99</v>
          </cell>
        </row>
        <row r="95">
          <cell r="A95" t="str">
            <v>151.08.0707</v>
          </cell>
          <cell r="B95" t="str">
            <v xml:space="preserve">Kasa-Pervaz Takım Kartonsuz Sarfı 20+22'lik ( 220 Cm)Pvc  MDF </v>
          </cell>
          <cell r="C95">
            <v>133.99</v>
          </cell>
        </row>
        <row r="96">
          <cell r="A96" t="str">
            <v>151.08.0709</v>
          </cell>
          <cell r="B96" t="str">
            <v xml:space="preserve">Kasa-Pervaz Takım  Sarfı 12 'lük ( 220 Cm) Pvc Plastik </v>
          </cell>
          <cell r="C96">
            <v>353.96</v>
          </cell>
        </row>
        <row r="97">
          <cell r="A97" t="str">
            <v>151.08.0710</v>
          </cell>
          <cell r="B97" t="str">
            <v xml:space="preserve"> Kasa-Pervaz Takım  Sarfı 16 'lik ( 220 Cm) Pvc Plastik</v>
          </cell>
          <cell r="C97">
            <v>378</v>
          </cell>
        </row>
        <row r="98">
          <cell r="A98" t="str">
            <v>151.08.0711</v>
          </cell>
          <cell r="B98" t="str">
            <v xml:space="preserve">Kasa-Pervaz Takım  Sarfı  20'lik ( 220 Cm) Pvc Plastik </v>
          </cell>
          <cell r="C98">
            <v>390.87</v>
          </cell>
        </row>
        <row r="99">
          <cell r="A99" t="str">
            <v>151.09.0002</v>
          </cell>
          <cell r="B99" t="str">
            <v>Pvc Mdf Düz Pervaz 8*3,5 cm 10 mm 220 Cm</v>
          </cell>
          <cell r="C99">
            <v>243.34</v>
          </cell>
        </row>
        <row r="100">
          <cell r="A100" t="str">
            <v>151.09.0010</v>
          </cell>
          <cell r="B100" t="str">
            <v>Pvc Mdf Düz Pervaz 8*3,5 cm 8 mm 220 Cm</v>
          </cell>
          <cell r="C100">
            <v>209</v>
          </cell>
        </row>
        <row r="101">
          <cell r="A101" t="str">
            <v>151.09.0012</v>
          </cell>
          <cell r="B101" t="str">
            <v>Pvc Mdf Düz Pervaz 9*3,5 cm 10 mm 220 Cm</v>
          </cell>
          <cell r="C101">
            <v>246.61</v>
          </cell>
        </row>
        <row r="102">
          <cell r="A102" t="str">
            <v>151.09.0017</v>
          </cell>
          <cell r="B102" t="str">
            <v>Pvc Düz Pervaz 9*3,5 cm 18mm 220 cm</v>
          </cell>
          <cell r="C102">
            <v>363.24</v>
          </cell>
        </row>
        <row r="103">
          <cell r="A103" t="str">
            <v>151.09.0021</v>
          </cell>
          <cell r="B103" t="str">
            <v xml:space="preserve">Pvc Mdf Düz Pervaz 10*3,5 cm 10 mm 210 Cm </v>
          </cell>
          <cell r="C103">
            <v>278.98</v>
          </cell>
        </row>
        <row r="104">
          <cell r="A104" t="str">
            <v>151.09.0024</v>
          </cell>
          <cell r="B104" t="str">
            <v>Pvc Mdf Düz Pervaz 9*3,5 cm 8 mm 210 Cm</v>
          </cell>
          <cell r="C104">
            <v>229.35</v>
          </cell>
        </row>
        <row r="105">
          <cell r="A105" t="str">
            <v>151.09.0040</v>
          </cell>
          <cell r="B105" t="str">
            <v xml:space="preserve">Pvc Mdf Düz Pervaz 16*3,5 cm 8 mm 210 Cm </v>
          </cell>
          <cell r="C105">
            <v>420.25</v>
          </cell>
        </row>
        <row r="106">
          <cell r="A106" t="str">
            <v>151.09.0094</v>
          </cell>
          <cell r="B106" t="str">
            <v xml:space="preserve"> Pvc Mdf Düz Pervaz 9*5 cm 10 mm 220 Cm</v>
          </cell>
          <cell r="C106">
            <v>291.23</v>
          </cell>
        </row>
        <row r="107">
          <cell r="A107" t="str">
            <v>151.09.0102</v>
          </cell>
          <cell r="B107" t="str">
            <v>Pvc Düz Pervaz 10*3,5 cm 8mm 220 cm</v>
          </cell>
          <cell r="C107">
            <v>581.11</v>
          </cell>
        </row>
        <row r="108">
          <cell r="A108" t="str">
            <v>151.09.0104</v>
          </cell>
          <cell r="B108" t="str">
            <v xml:space="preserve">Pvc Mdf Düz Pervaz 9*4,5 cm 10 mm 220 Cm </v>
          </cell>
          <cell r="C108">
            <v>305.36</v>
          </cell>
        </row>
        <row r="109">
          <cell r="A109" t="str">
            <v>151.09.0334</v>
          </cell>
          <cell r="B109" t="str">
            <v xml:space="preserve">Pvc Motifli Pervaz-2- 3,5 220 Cm </v>
          </cell>
          <cell r="C109">
            <v>416.08</v>
          </cell>
        </row>
        <row r="110">
          <cell r="A110" t="str">
            <v>151.09.0342</v>
          </cell>
          <cell r="B110" t="str">
            <v>Pvc Mdf Düz Pervaz 10*3,5 cm 18 mm 220 Cm</v>
          </cell>
          <cell r="C110">
            <v>391.96</v>
          </cell>
        </row>
        <row r="111">
          <cell r="A111" t="str">
            <v>151.09.0382</v>
          </cell>
          <cell r="B111" t="str">
            <v>Pvc  Mdf Süpürgelik 9 cm 10 mm 280 mm</v>
          </cell>
          <cell r="C111">
            <v>244.16</v>
          </cell>
        </row>
        <row r="112">
          <cell r="A112" t="str">
            <v>151.09.0402</v>
          </cell>
          <cell r="B112" t="str">
            <v>PVC.Kap.Düz.Plastik Pervaz 9*4,50 Cm  220 Cm</v>
          </cell>
          <cell r="C112">
            <v>333.7</v>
          </cell>
        </row>
        <row r="113">
          <cell r="A113" t="str">
            <v>151.09.0408</v>
          </cell>
          <cell r="B113" t="str">
            <v>Pvc Kap.Plastik Düz Pervaz 9*7,5 cm 220 cm</v>
          </cell>
          <cell r="C113">
            <v>377.76</v>
          </cell>
        </row>
        <row r="114">
          <cell r="A114" t="str">
            <v>151.11.0002</v>
          </cell>
          <cell r="B114" t="str">
            <v>Pvc Mdf Cam Çıtası 22 mm 2,2*280 cm</v>
          </cell>
          <cell r="C114">
            <v>175.03</v>
          </cell>
        </row>
        <row r="115">
          <cell r="A115" t="str">
            <v>151.11.0004</v>
          </cell>
          <cell r="B115" t="str">
            <v>Ham Mdf Cam Çıtası 22 mm 2,2*280 cm</v>
          </cell>
          <cell r="C115">
            <v>112.08</v>
          </cell>
        </row>
        <row r="116">
          <cell r="A116" t="str">
            <v>151.11.0006</v>
          </cell>
          <cell r="B116" t="str">
            <v>Ham Mdf Dekoratif Damaksız (Özel-2) 10 mm 5*280 cm</v>
          </cell>
          <cell r="C116">
            <v>99.43</v>
          </cell>
        </row>
        <row r="117">
          <cell r="A117" t="str">
            <v>151.11.0011</v>
          </cell>
          <cell r="B117" t="str">
            <v>Pvc Mdf Karolaj Çıtası 10 mm 3*280 cm</v>
          </cell>
          <cell r="C117">
            <v>131.62</v>
          </cell>
        </row>
      </sheetData>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116"/>
  <sheetViews>
    <sheetView tabSelected="1" zoomScale="70" zoomScaleNormal="70" zoomScaleSheetLayoutView="70" workbookViewId="0">
      <selection activeCell="D23" sqref="D23:M23"/>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8"/>
      <c r="B1" s="28"/>
      <c r="C1" s="21"/>
      <c r="D1" s="21"/>
      <c r="E1" s="21"/>
      <c r="F1" s="21"/>
      <c r="G1" s="21"/>
      <c r="H1" s="21"/>
      <c r="I1" s="21"/>
      <c r="J1" s="21"/>
      <c r="K1" s="21"/>
      <c r="L1" s="21"/>
      <c r="M1" s="21"/>
    </row>
    <row r="2" spans="1:13" x14ac:dyDescent="0.25">
      <c r="A2" s="28"/>
      <c r="B2" s="28"/>
      <c r="C2" s="21"/>
      <c r="D2" s="21"/>
      <c r="E2" s="21"/>
      <c r="F2" s="21"/>
      <c r="G2" s="21"/>
      <c r="H2" s="21"/>
      <c r="I2" s="21"/>
      <c r="J2" s="21"/>
      <c r="K2" s="21"/>
      <c r="L2" s="21"/>
      <c r="M2" s="21"/>
    </row>
    <row r="3" spans="1:13" x14ac:dyDescent="0.25">
      <c r="A3" s="28"/>
      <c r="B3" s="28"/>
      <c r="C3" s="21"/>
      <c r="D3" s="21"/>
      <c r="E3" s="21"/>
      <c r="F3" s="21"/>
      <c r="G3" s="21"/>
      <c r="H3" s="21"/>
      <c r="I3" s="21"/>
      <c r="J3" s="21"/>
      <c r="K3" s="21"/>
      <c r="L3" s="21"/>
      <c r="M3" s="21"/>
    </row>
    <row r="4" spans="1:13" x14ac:dyDescent="0.25">
      <c r="A4" s="28"/>
      <c r="B4" s="28"/>
      <c r="C4" s="21"/>
      <c r="D4" s="21"/>
      <c r="E4" s="21"/>
      <c r="F4" s="21"/>
      <c r="G4" s="21"/>
      <c r="H4" s="21"/>
      <c r="I4" s="21"/>
      <c r="J4" s="21"/>
      <c r="K4" s="21"/>
      <c r="L4" s="21"/>
      <c r="M4" s="21"/>
    </row>
    <row r="5" spans="1:13" x14ac:dyDescent="0.25">
      <c r="A5" s="28"/>
      <c r="B5" s="28"/>
      <c r="C5" s="21"/>
      <c r="D5" s="21"/>
      <c r="E5" s="21"/>
      <c r="F5" s="21"/>
      <c r="G5" s="21"/>
      <c r="H5" s="21"/>
      <c r="I5" s="21"/>
      <c r="J5" s="21"/>
      <c r="K5" s="21"/>
      <c r="L5" s="21"/>
      <c r="M5" s="21"/>
    </row>
    <row r="6" spans="1:13" x14ac:dyDescent="0.25">
      <c r="A6" s="28"/>
      <c r="B6" s="28"/>
      <c r="C6" s="21"/>
      <c r="D6" s="21"/>
      <c r="E6" s="21"/>
      <c r="F6" s="21"/>
      <c r="G6" s="21"/>
      <c r="H6" s="21"/>
      <c r="I6" s="21"/>
      <c r="J6" s="21"/>
      <c r="K6" s="21"/>
      <c r="L6" s="21"/>
      <c r="M6" s="21"/>
    </row>
    <row r="7" spans="1:13" x14ac:dyDescent="0.25">
      <c r="A7" s="28"/>
      <c r="B7" s="28"/>
      <c r="C7" s="21"/>
      <c r="D7" s="21"/>
      <c r="E7" s="21"/>
      <c r="F7" s="21"/>
      <c r="G7" s="21"/>
      <c r="H7" s="21"/>
      <c r="I7" s="21"/>
      <c r="J7" s="21"/>
      <c r="K7" s="21"/>
      <c r="L7" s="21"/>
      <c r="M7" s="21"/>
    </row>
    <row r="8" spans="1:13" x14ac:dyDescent="0.25">
      <c r="A8" s="28"/>
      <c r="B8" s="28"/>
      <c r="C8" s="21"/>
      <c r="D8" s="21"/>
      <c r="E8" s="21"/>
      <c r="F8" s="21"/>
      <c r="G8" s="21"/>
      <c r="H8" s="21"/>
      <c r="I8" s="21"/>
      <c r="J8" s="21"/>
      <c r="K8" s="21"/>
      <c r="L8" s="21"/>
      <c r="M8" s="21"/>
    </row>
    <row r="9" spans="1:13" x14ac:dyDescent="0.25">
      <c r="A9" s="28"/>
      <c r="B9" s="28"/>
      <c r="C9" s="21"/>
      <c r="D9" s="21"/>
      <c r="E9" s="21"/>
      <c r="F9" s="21"/>
      <c r="G9" s="21"/>
      <c r="H9" s="21"/>
      <c r="I9" s="21"/>
      <c r="J9" s="21"/>
      <c r="K9" s="21"/>
      <c r="L9" s="21"/>
      <c r="M9" s="21"/>
    </row>
    <row r="10" spans="1:13" x14ac:dyDescent="0.25">
      <c r="A10" s="28"/>
      <c r="B10" s="28"/>
      <c r="C10" s="21"/>
      <c r="D10" s="21"/>
      <c r="E10" s="21"/>
      <c r="F10" s="21"/>
      <c r="G10" s="21"/>
      <c r="H10" s="21"/>
      <c r="I10" s="21"/>
      <c r="J10" s="21"/>
      <c r="K10" s="21"/>
      <c r="L10" s="21"/>
      <c r="M10" s="21"/>
    </row>
    <row r="11" spans="1:13" x14ac:dyDescent="0.25">
      <c r="A11" s="28"/>
      <c r="B11" s="28"/>
      <c r="C11" s="21"/>
      <c r="D11" s="21"/>
      <c r="E11" s="21"/>
      <c r="F11" s="21"/>
      <c r="G11" s="21"/>
      <c r="H11" s="21"/>
      <c r="I11" s="21"/>
      <c r="J11" s="21"/>
      <c r="K11" s="21"/>
      <c r="L11" s="21"/>
      <c r="M11" s="21"/>
    </row>
    <row r="12" spans="1:13" ht="28.5" customHeight="1" x14ac:dyDescent="0.25">
      <c r="A12" s="28"/>
      <c r="B12" s="28"/>
      <c r="C12" s="69" t="s">
        <v>61</v>
      </c>
      <c r="D12" s="69"/>
      <c r="E12" s="69"/>
      <c r="F12" s="69"/>
      <c r="G12" s="69"/>
      <c r="H12" s="69"/>
      <c r="I12" s="69"/>
      <c r="J12" s="69"/>
      <c r="K12" s="69"/>
      <c r="L12" s="69"/>
      <c r="M12" s="70"/>
    </row>
    <row r="13" spans="1:13" ht="26.25" customHeight="1" thickBot="1" x14ac:dyDescent="0.3">
      <c r="A13" s="28"/>
      <c r="B13" s="28"/>
      <c r="C13" s="28"/>
      <c r="D13" s="28"/>
      <c r="E13" s="28"/>
      <c r="F13" s="28"/>
      <c r="G13" s="28"/>
      <c r="H13" s="28"/>
      <c r="I13" s="28"/>
      <c r="J13" s="28"/>
      <c r="K13" s="28"/>
      <c r="L13" s="28"/>
      <c r="M13" s="60"/>
    </row>
    <row r="14" spans="1:13" ht="26.25" customHeight="1" thickBot="1" x14ac:dyDescent="0.3">
      <c r="A14" s="28"/>
      <c r="B14" s="28"/>
      <c r="C14" s="28"/>
      <c r="D14" s="28"/>
      <c r="E14" s="28"/>
      <c r="F14" s="28"/>
      <c r="G14" s="28"/>
      <c r="H14" s="28"/>
      <c r="I14" s="28"/>
      <c r="J14" s="28"/>
      <c r="K14" s="28"/>
      <c r="L14" s="23" t="s">
        <v>46</v>
      </c>
      <c r="M14" s="39">
        <f ca="1">TODAY()</f>
        <v>46095</v>
      </c>
    </row>
    <row r="15" spans="1:13" ht="27" customHeight="1" thickBot="1" x14ac:dyDescent="0.3">
      <c r="B15" s="71" t="s">
        <v>45</v>
      </c>
      <c r="C15" s="72" t="s">
        <v>222</v>
      </c>
      <c r="D15" s="73"/>
      <c r="E15" s="73"/>
      <c r="F15" s="73"/>
      <c r="G15" s="73"/>
      <c r="H15" s="73"/>
      <c r="I15" s="73"/>
      <c r="J15" s="73"/>
      <c r="K15" s="73"/>
      <c r="L15" s="73"/>
      <c r="M15" s="74"/>
    </row>
    <row r="16" spans="1:13" ht="27" customHeight="1" x14ac:dyDescent="0.25">
      <c r="B16" s="71"/>
      <c r="C16" s="75" t="s">
        <v>25</v>
      </c>
      <c r="D16" s="76"/>
      <c r="E16" s="105"/>
      <c r="F16" s="87"/>
      <c r="G16" s="87"/>
      <c r="H16" s="87"/>
      <c r="I16" s="87"/>
      <c r="J16" s="88"/>
      <c r="K16" s="75" t="s">
        <v>35</v>
      </c>
      <c r="L16" s="77"/>
      <c r="M16" s="76"/>
    </row>
    <row r="17" spans="2:13" ht="27" customHeight="1" x14ac:dyDescent="0.25">
      <c r="B17" s="71"/>
      <c r="C17" s="78" t="s">
        <v>36</v>
      </c>
      <c r="D17" s="79"/>
      <c r="E17" s="106"/>
      <c r="F17" s="107"/>
      <c r="G17" s="107"/>
      <c r="H17" s="107"/>
      <c r="I17" s="107"/>
      <c r="J17" s="108"/>
      <c r="K17" s="78" t="s">
        <v>36</v>
      </c>
      <c r="L17" s="80"/>
      <c r="M17" s="79"/>
    </row>
    <row r="18" spans="2:13" ht="27" customHeight="1" x14ac:dyDescent="0.25">
      <c r="B18" s="71"/>
      <c r="C18" s="78" t="s">
        <v>37</v>
      </c>
      <c r="D18" s="79"/>
      <c r="E18" s="106"/>
      <c r="F18" s="107"/>
      <c r="G18" s="107"/>
      <c r="H18" s="107"/>
      <c r="I18" s="107"/>
      <c r="J18" s="108"/>
      <c r="K18" s="78" t="s">
        <v>38</v>
      </c>
      <c r="L18" s="80"/>
      <c r="M18" s="79"/>
    </row>
    <row r="19" spans="2:13" ht="27" customHeight="1" thickBot="1" x14ac:dyDescent="0.3">
      <c r="B19" s="71"/>
      <c r="C19" s="81" t="s">
        <v>39</v>
      </c>
      <c r="D19" s="82"/>
      <c r="E19" s="109"/>
      <c r="F19" s="110"/>
      <c r="G19" s="110"/>
      <c r="H19" s="110"/>
      <c r="I19" s="110"/>
      <c r="J19" s="111"/>
      <c r="K19" s="81" t="s">
        <v>39</v>
      </c>
      <c r="L19" s="86"/>
      <c r="M19" s="82"/>
    </row>
    <row r="20" spans="2:13" ht="27" customHeight="1" x14ac:dyDescent="0.25">
      <c r="B20" s="71"/>
      <c r="C20" s="77"/>
      <c r="D20" s="77"/>
      <c r="E20" s="77"/>
      <c r="F20" s="77"/>
      <c r="G20" s="77"/>
      <c r="H20" s="77"/>
      <c r="I20" s="77"/>
      <c r="J20" s="77"/>
      <c r="K20" s="77"/>
      <c r="L20" s="77"/>
      <c r="M20" s="77"/>
    </row>
    <row r="21" spans="2:13" ht="27" customHeight="1" thickBot="1" x14ac:dyDescent="0.3">
      <c r="B21" s="71"/>
      <c r="C21" s="86"/>
      <c r="D21" s="86"/>
      <c r="E21" s="86"/>
      <c r="F21" s="86"/>
      <c r="G21" s="86"/>
      <c r="H21" s="86"/>
      <c r="I21" s="86"/>
      <c r="J21" s="86"/>
      <c r="K21" s="86"/>
      <c r="L21" s="86"/>
      <c r="M21" s="86"/>
    </row>
    <row r="22" spans="2:13" ht="27" customHeight="1" thickBot="1" x14ac:dyDescent="0.3">
      <c r="B22" s="71"/>
      <c r="C22" s="72" t="s">
        <v>48</v>
      </c>
      <c r="D22" s="87"/>
      <c r="E22" s="87"/>
      <c r="F22" s="87"/>
      <c r="G22" s="87"/>
      <c r="H22" s="87"/>
      <c r="I22" s="87"/>
      <c r="J22" s="87"/>
      <c r="K22" s="87"/>
      <c r="L22" s="87"/>
      <c r="M22" s="88"/>
    </row>
    <row r="23" spans="2:13" ht="27" customHeight="1" thickBot="1" x14ac:dyDescent="0.3">
      <c r="B23" s="71"/>
      <c r="C23" s="23" t="s">
        <v>40</v>
      </c>
      <c r="D23" s="89"/>
      <c r="E23" s="90"/>
      <c r="F23" s="90"/>
      <c r="G23" s="90"/>
      <c r="H23" s="90"/>
      <c r="I23" s="90"/>
      <c r="J23" s="90"/>
      <c r="K23" s="90"/>
      <c r="L23" s="90"/>
      <c r="M23" s="91"/>
    </row>
    <row r="24" spans="2:13" ht="27" customHeight="1" thickBot="1" x14ac:dyDescent="0.3">
      <c r="B24" s="71"/>
      <c r="C24" s="61" t="s">
        <v>41</v>
      </c>
      <c r="D24" s="92"/>
      <c r="E24" s="93"/>
      <c r="F24" s="93"/>
      <c r="G24" s="93"/>
      <c r="H24" s="93"/>
      <c r="I24" s="93"/>
      <c r="J24" s="93"/>
      <c r="K24" s="93"/>
      <c r="L24" s="93"/>
      <c r="M24" s="94"/>
    </row>
    <row r="25" spans="2:13" ht="27" customHeight="1" thickBot="1" x14ac:dyDescent="0.3">
      <c r="B25" s="71"/>
      <c r="C25" s="23" t="s">
        <v>42</v>
      </c>
      <c r="D25" s="95"/>
      <c r="E25" s="96"/>
      <c r="F25" s="96"/>
      <c r="G25" s="96"/>
      <c r="H25" s="96"/>
      <c r="I25" s="96"/>
      <c r="J25" s="96"/>
      <c r="K25" s="96"/>
      <c r="L25" s="96"/>
      <c r="M25" s="97"/>
    </row>
    <row r="26" spans="2:13" ht="27" customHeight="1" thickBot="1" x14ac:dyDescent="0.3">
      <c r="B26" s="71"/>
      <c r="C26" s="62" t="s">
        <v>43</v>
      </c>
      <c r="D26" s="92"/>
      <c r="E26" s="93"/>
      <c r="F26" s="93"/>
      <c r="G26" s="93"/>
      <c r="H26" s="93"/>
      <c r="I26" s="93"/>
      <c r="J26" s="93"/>
      <c r="K26" s="93"/>
      <c r="L26" s="93"/>
      <c r="M26" s="94"/>
    </row>
    <row r="27" spans="2:13" ht="27" customHeight="1" thickBot="1" x14ac:dyDescent="0.3">
      <c r="B27" s="71"/>
      <c r="C27" s="23" t="s">
        <v>44</v>
      </c>
      <c r="D27" s="112"/>
      <c r="E27" s="113"/>
      <c r="F27" s="113"/>
      <c r="G27" s="113"/>
      <c r="H27" s="113"/>
      <c r="I27" s="113"/>
      <c r="J27" s="113"/>
      <c r="K27" s="113"/>
      <c r="L27" s="113"/>
      <c r="M27" s="114"/>
    </row>
    <row r="28" spans="2:13" ht="27" customHeight="1" thickBot="1" x14ac:dyDescent="0.3">
      <c r="B28" s="48"/>
      <c r="C28" s="125"/>
      <c r="D28" s="125"/>
      <c r="E28" s="125"/>
      <c r="F28" s="125"/>
      <c r="G28" s="125"/>
      <c r="H28" s="125"/>
      <c r="I28" s="125"/>
      <c r="J28" s="125"/>
      <c r="K28" s="125"/>
      <c r="L28" s="125"/>
      <c r="M28" s="125"/>
    </row>
    <row r="29" spans="2:13" ht="27" customHeight="1" thickBot="1" x14ac:dyDescent="0.3">
      <c r="B29" s="2"/>
      <c r="C29" s="72" t="s">
        <v>221</v>
      </c>
      <c r="D29" s="73"/>
      <c r="E29" s="73"/>
      <c r="F29" s="73"/>
      <c r="G29" s="73"/>
      <c r="H29" s="73"/>
      <c r="I29" s="73"/>
      <c r="J29" s="73"/>
      <c r="K29" s="73"/>
      <c r="L29" s="73"/>
      <c r="M29" s="74"/>
    </row>
    <row r="30" spans="2:13" ht="27" customHeight="1" thickBot="1" x14ac:dyDescent="0.3">
      <c r="B30" s="2"/>
      <c r="C30" s="43" t="s">
        <v>214</v>
      </c>
      <c r="D30" s="98" t="str">
        <f ca="1">"CK-"&amp;YEAR(NOW())&amp;MONTH(NOW())&amp;DAY(NOW())&amp;HOUR(NOW())&amp;MINUTE(NOW())</f>
        <v>CK-2026314113</v>
      </c>
      <c r="E30" s="99"/>
      <c r="F30" s="99"/>
      <c r="G30" s="99"/>
      <c r="H30" s="99"/>
      <c r="I30" s="99"/>
      <c r="J30" s="99"/>
      <c r="K30" s="99"/>
      <c r="L30" s="99"/>
      <c r="M30" s="100"/>
    </row>
    <row r="31" spans="2:13" ht="27" customHeight="1" thickBot="1" x14ac:dyDescent="0.3">
      <c r="B31" s="2"/>
      <c r="C31" s="43" t="s">
        <v>47</v>
      </c>
      <c r="D31" s="3" t="s">
        <v>52</v>
      </c>
      <c r="E31" s="4" t="s">
        <v>50</v>
      </c>
      <c r="F31" s="4"/>
      <c r="G31" s="4" t="s">
        <v>49</v>
      </c>
      <c r="H31" s="4"/>
      <c r="I31" s="4" t="s">
        <v>51</v>
      </c>
      <c r="J31" s="4"/>
      <c r="K31" s="5" t="s">
        <v>195</v>
      </c>
      <c r="L31" s="4"/>
      <c r="M31" s="5" t="s">
        <v>62</v>
      </c>
    </row>
    <row r="32" spans="2:13" ht="27" customHeight="1" thickBot="1" x14ac:dyDescent="0.3">
      <c r="B32" s="2"/>
      <c r="C32" s="22" t="s">
        <v>31</v>
      </c>
      <c r="D32" s="63" t="s">
        <v>53</v>
      </c>
      <c r="E32" s="42" t="s">
        <v>54</v>
      </c>
      <c r="F32" s="42"/>
      <c r="G32" s="101" t="s">
        <v>55</v>
      </c>
      <c r="H32" s="101"/>
      <c r="I32" s="101"/>
      <c r="J32" s="101"/>
      <c r="K32" s="101"/>
      <c r="L32" s="6" t="s">
        <v>56</v>
      </c>
      <c r="M32" s="7"/>
    </row>
    <row r="33" spans="2:13" ht="27" customHeight="1" thickBot="1" x14ac:dyDescent="0.3">
      <c r="B33" s="2"/>
      <c r="C33" s="43" t="s">
        <v>197</v>
      </c>
      <c r="D33" s="102" t="s">
        <v>196</v>
      </c>
      <c r="E33" s="103"/>
      <c r="F33" s="103"/>
      <c r="G33" s="103"/>
      <c r="H33" s="103"/>
      <c r="I33" s="103"/>
      <c r="J33" s="103"/>
      <c r="K33" s="103"/>
      <c r="L33" s="103"/>
      <c r="M33" s="104"/>
    </row>
    <row r="34" spans="2:13" ht="27" customHeight="1" x14ac:dyDescent="0.25">
      <c r="B34" s="2"/>
      <c r="C34" s="77"/>
      <c r="D34" s="77"/>
      <c r="E34" s="77"/>
      <c r="F34" s="77"/>
      <c r="G34" s="77"/>
      <c r="H34" s="77"/>
      <c r="I34" s="77"/>
      <c r="J34" s="77"/>
      <c r="K34" s="77"/>
      <c r="L34" s="77"/>
      <c r="M34" s="77"/>
    </row>
    <row r="35" spans="2:13" x14ac:dyDescent="0.25">
      <c r="C35" s="80"/>
      <c r="D35" s="80"/>
      <c r="E35" s="80"/>
      <c r="F35" s="80"/>
      <c r="G35" s="80"/>
      <c r="H35" s="80"/>
      <c r="I35" s="80"/>
      <c r="J35" s="80"/>
      <c r="K35" s="80"/>
      <c r="L35" s="80"/>
      <c r="M35" s="80"/>
    </row>
    <row r="36" spans="2:13" ht="27" customHeight="1" x14ac:dyDescent="0.25">
      <c r="C36" s="84" t="s">
        <v>0</v>
      </c>
      <c r="D36" s="84"/>
      <c r="E36" s="84"/>
      <c r="F36" s="84"/>
      <c r="G36" s="84"/>
      <c r="H36" s="84"/>
      <c r="I36" s="84"/>
      <c r="J36" s="84"/>
      <c r="K36" s="84"/>
      <c r="L36" s="84"/>
      <c r="M36" s="85"/>
    </row>
    <row r="37" spans="2:13" ht="27" customHeight="1" x14ac:dyDescent="0.25">
      <c r="C37" s="24" t="s">
        <v>1</v>
      </c>
      <c r="D37" s="24" t="s">
        <v>2</v>
      </c>
      <c r="E37" s="24" t="s">
        <v>3</v>
      </c>
      <c r="F37" s="24" t="s">
        <v>4</v>
      </c>
      <c r="G37" s="24" t="s">
        <v>5</v>
      </c>
      <c r="H37" s="24" t="s">
        <v>59</v>
      </c>
      <c r="I37" s="24" t="s">
        <v>193</v>
      </c>
      <c r="J37" s="24" t="s">
        <v>194</v>
      </c>
      <c r="K37" s="24" t="s">
        <v>6</v>
      </c>
      <c r="L37" s="24" t="s">
        <v>60</v>
      </c>
      <c r="M37" s="24" t="s">
        <v>7</v>
      </c>
    </row>
    <row r="38" spans="2:13" ht="27" customHeight="1" x14ac:dyDescent="0.3">
      <c r="C38" s="10"/>
      <c r="D38" s="38" t="str">
        <f>IF(C38="","",VLOOKUP(C38,CelikKapiGrubu!$A:$C,2,0))</f>
        <v/>
      </c>
      <c r="E38" s="11"/>
      <c r="F38" s="10"/>
      <c r="G38" s="11">
        <v>0</v>
      </c>
      <c r="H38" s="37" t="str">
        <f>IF(C38="","",VLOOKUP(C38,CelikKapiGrubu!$A:$C,3,0))</f>
        <v/>
      </c>
      <c r="I38" s="20">
        <v>0</v>
      </c>
      <c r="J38" s="20">
        <v>0</v>
      </c>
      <c r="K38" s="25" t="s">
        <v>8</v>
      </c>
      <c r="L38" s="33" t="str">
        <f>IF(G38&gt;0,ROUND(H38*(1-I38/100)*(1-J38/100),2),"")</f>
        <v/>
      </c>
      <c r="M38" s="34" t="str">
        <f>IF(G38&gt;0,L38*G38,"")</f>
        <v/>
      </c>
    </row>
    <row r="39" spans="2:13" ht="27" customHeight="1" x14ac:dyDescent="0.3">
      <c r="C39" s="10"/>
      <c r="D39" s="38" t="str">
        <f>IF(C39="","",VLOOKUP(C39,CelikKapiGrubu!$A:$C,2,0))</f>
        <v/>
      </c>
      <c r="E39" s="11"/>
      <c r="F39" s="10"/>
      <c r="G39" s="11">
        <v>0</v>
      </c>
      <c r="H39" s="37" t="str">
        <f>IF(C39="","",VLOOKUP(C39,CelikKapiGrubu!$A:$C,3,0))</f>
        <v/>
      </c>
      <c r="I39" s="20">
        <v>0</v>
      </c>
      <c r="J39" s="20">
        <v>0</v>
      </c>
      <c r="K39" s="25" t="s">
        <v>8</v>
      </c>
      <c r="L39" s="33" t="str">
        <f t="shared" ref="L39:L42" si="0">IF(G39&gt;0,ROUND(H39*(1-I39/100)*(1-J39/100),2),"")</f>
        <v/>
      </c>
      <c r="M39" s="34" t="str">
        <f>IF(G39&gt;0,L39*G39,"")</f>
        <v/>
      </c>
    </row>
    <row r="40" spans="2:13" ht="27" customHeight="1" x14ac:dyDescent="0.3">
      <c r="C40" s="47"/>
      <c r="D40" s="38" t="str">
        <f>IF(C40="","",VLOOKUP(C40,CelikKapiGrubu!$A:$C,2,0))</f>
        <v/>
      </c>
      <c r="E40" s="11"/>
      <c r="F40" s="10"/>
      <c r="G40" s="11">
        <v>0</v>
      </c>
      <c r="H40" s="37" t="str">
        <f>IF(C40="","",VLOOKUP(C40,CelikKapiGrubu!$A:$C,3,0))</f>
        <v/>
      </c>
      <c r="I40" s="20">
        <v>0</v>
      </c>
      <c r="J40" s="20">
        <v>0</v>
      </c>
      <c r="K40" s="25" t="s">
        <v>8</v>
      </c>
      <c r="L40" s="33" t="str">
        <f t="shared" si="0"/>
        <v/>
      </c>
      <c r="M40" s="34" t="str">
        <f>IF(G40&gt;0,L40*G40,"")</f>
        <v/>
      </c>
    </row>
    <row r="41" spans="2:13" ht="27" customHeight="1" x14ac:dyDescent="0.3">
      <c r="C41" s="10"/>
      <c r="D41" s="38" t="str">
        <f>IF(C41="","",VLOOKUP(C41,CelikKapiGrubu!$A:$C,2,0))</f>
        <v/>
      </c>
      <c r="E41" s="11"/>
      <c r="F41" s="10"/>
      <c r="G41" s="11">
        <v>0</v>
      </c>
      <c r="H41" s="37" t="str">
        <f>IF(C41="","",VLOOKUP(C41,CelikKapiGrubu!$A:$C,3,0))</f>
        <v/>
      </c>
      <c r="I41" s="20">
        <v>0</v>
      </c>
      <c r="J41" s="20">
        <v>0</v>
      </c>
      <c r="K41" s="25" t="s">
        <v>8</v>
      </c>
      <c r="L41" s="33" t="str">
        <f t="shared" si="0"/>
        <v/>
      </c>
      <c r="M41" s="34" t="str">
        <f>IF(G41&gt;0,L41*G41,"")</f>
        <v/>
      </c>
    </row>
    <row r="42" spans="2:13" ht="27" customHeight="1" x14ac:dyDescent="0.3">
      <c r="C42" s="12"/>
      <c r="D42" s="38" t="str">
        <f>IF(C42="","",VLOOKUP(C42,CelikKapiGrubu!$A:$C,2,0))</f>
        <v/>
      </c>
      <c r="E42" s="11"/>
      <c r="F42" s="13"/>
      <c r="G42" s="11">
        <v>0</v>
      </c>
      <c r="H42" s="37" t="str">
        <f>IF(C42="","",VLOOKUP(C42,CelikKapiGrubu!$A:$C,3,0))</f>
        <v/>
      </c>
      <c r="I42" s="20">
        <v>0</v>
      </c>
      <c r="J42" s="20">
        <v>0</v>
      </c>
      <c r="K42" s="25" t="s">
        <v>8</v>
      </c>
      <c r="L42" s="33" t="str">
        <f t="shared" si="0"/>
        <v/>
      </c>
      <c r="M42" s="34" t="str">
        <f>IF(G42&gt;0,L42*G42,"")</f>
        <v/>
      </c>
    </row>
    <row r="43" spans="2:13" ht="27" customHeight="1" x14ac:dyDescent="0.35">
      <c r="D43" s="8"/>
      <c r="E43" s="8"/>
      <c r="F43" s="8"/>
      <c r="G43" s="9">
        <f>SUM(G38+G39+G40+G41+G42)</f>
        <v>0</v>
      </c>
      <c r="H43" s="44"/>
      <c r="I43" s="44"/>
      <c r="J43" s="44"/>
      <c r="K43" s="55"/>
      <c r="L43" s="19" t="s">
        <v>9</v>
      </c>
      <c r="M43" s="35">
        <f>SUM(M38:M42)</f>
        <v>0</v>
      </c>
    </row>
    <row r="44" spans="2:13" ht="27" customHeight="1" x14ac:dyDescent="0.35">
      <c r="C44" s="64" t="s">
        <v>65</v>
      </c>
      <c r="D44" s="8"/>
      <c r="E44" s="8"/>
      <c r="F44" s="8"/>
      <c r="G44" s="8"/>
      <c r="H44" s="8"/>
      <c r="I44" s="8"/>
      <c r="J44" s="8"/>
      <c r="K44" s="55"/>
      <c r="L44" s="19" t="s">
        <v>10</v>
      </c>
      <c r="M44" s="36">
        <f>M43*20/100</f>
        <v>0</v>
      </c>
    </row>
    <row r="45" spans="2:13" ht="27" customHeight="1" x14ac:dyDescent="0.35">
      <c r="C45" s="18" t="s">
        <v>11</v>
      </c>
      <c r="D45" s="14"/>
      <c r="E45" s="14"/>
      <c r="F45" s="14"/>
      <c r="G45" s="14"/>
      <c r="H45" s="14"/>
      <c r="I45" s="14"/>
      <c r="J45" s="14"/>
      <c r="K45" s="27"/>
      <c r="L45" s="19" t="s">
        <v>12</v>
      </c>
      <c r="M45" s="35">
        <f>M44+M43</f>
        <v>0</v>
      </c>
    </row>
    <row r="46" spans="2:13" ht="27" customHeight="1" x14ac:dyDescent="0.35">
      <c r="C46" s="18" t="s">
        <v>13</v>
      </c>
      <c r="D46" s="14"/>
      <c r="E46" s="14"/>
      <c r="F46" s="14"/>
      <c r="G46" s="14"/>
      <c r="H46" s="14"/>
      <c r="I46" s="14"/>
      <c r="J46" s="14"/>
      <c r="K46" s="27"/>
      <c r="L46" s="32"/>
      <c r="M46" s="49"/>
    </row>
    <row r="47" spans="2:13" ht="27" customHeight="1" x14ac:dyDescent="0.35">
      <c r="C47" s="18" t="s">
        <v>14</v>
      </c>
      <c r="D47" s="14"/>
      <c r="E47" s="14"/>
      <c r="F47" s="14"/>
      <c r="G47" s="14"/>
      <c r="H47" s="14"/>
      <c r="I47" s="14"/>
      <c r="J47" s="14"/>
      <c r="K47" s="14"/>
      <c r="L47" s="15"/>
      <c r="M47" s="16"/>
    </row>
    <row r="48" spans="2:13" ht="27" customHeight="1" x14ac:dyDescent="0.35">
      <c r="C48" s="18" t="s">
        <v>64</v>
      </c>
      <c r="D48" s="14"/>
      <c r="E48" s="14"/>
      <c r="F48" s="14"/>
      <c r="G48" s="14"/>
      <c r="H48" s="14"/>
      <c r="I48" s="14"/>
      <c r="J48" s="14"/>
      <c r="K48" s="14"/>
      <c r="L48" s="15"/>
      <c r="M48" s="16"/>
    </row>
    <row r="49" spans="3:13" ht="27" customHeight="1" x14ac:dyDescent="0.35">
      <c r="C49" s="18"/>
      <c r="D49" s="14"/>
      <c r="E49" s="14"/>
      <c r="F49" s="14"/>
      <c r="G49" s="14"/>
      <c r="H49" s="14"/>
      <c r="I49" s="14"/>
      <c r="J49" s="14"/>
      <c r="K49" s="14"/>
      <c r="L49" s="15"/>
      <c r="M49" s="16"/>
    </row>
    <row r="50" spans="3:13" ht="27" customHeight="1" x14ac:dyDescent="0.35">
      <c r="C50" s="18"/>
      <c r="D50" s="14"/>
      <c r="E50" s="14"/>
      <c r="F50" s="14"/>
      <c r="G50" s="14"/>
      <c r="H50" s="14"/>
      <c r="I50" s="14"/>
      <c r="J50" s="14"/>
      <c r="K50" s="14"/>
      <c r="L50" s="15"/>
      <c r="M50" s="16"/>
    </row>
    <row r="51" spans="3:13" ht="27" customHeight="1" x14ac:dyDescent="0.35">
      <c r="C51" s="18"/>
      <c r="D51" s="14"/>
      <c r="E51" s="14"/>
      <c r="F51" s="14"/>
      <c r="G51" s="14"/>
      <c r="H51" s="14"/>
      <c r="I51" s="14"/>
      <c r="J51" s="14"/>
      <c r="K51" s="14"/>
      <c r="L51" s="15"/>
      <c r="M51" s="16"/>
    </row>
    <row r="52" spans="3:13" ht="27" customHeight="1" x14ac:dyDescent="0.35">
      <c r="C52" s="18"/>
      <c r="D52" s="14"/>
      <c r="E52" s="14"/>
      <c r="F52" s="14"/>
      <c r="G52" s="14"/>
      <c r="H52" s="14"/>
      <c r="I52" s="14"/>
      <c r="J52" s="14"/>
      <c r="K52" s="14"/>
      <c r="L52" s="15"/>
      <c r="M52" s="16"/>
    </row>
    <row r="53" spans="3:13" ht="27" customHeight="1" x14ac:dyDescent="0.35">
      <c r="C53" s="18"/>
      <c r="D53" s="14"/>
      <c r="E53" s="14"/>
      <c r="F53" s="14"/>
      <c r="G53" s="14"/>
      <c r="H53" s="14"/>
      <c r="I53" s="14"/>
      <c r="J53" s="14"/>
      <c r="K53" s="14"/>
      <c r="L53" s="15"/>
      <c r="M53" s="16"/>
    </row>
    <row r="54" spans="3:13" ht="27" customHeight="1" x14ac:dyDescent="0.35">
      <c r="C54" s="18"/>
      <c r="D54" s="14"/>
      <c r="E54" s="14"/>
      <c r="F54" s="14"/>
      <c r="G54" s="14"/>
      <c r="H54" s="14"/>
      <c r="I54" s="14"/>
      <c r="J54" s="14"/>
      <c r="K54" s="14"/>
      <c r="L54" s="15"/>
      <c r="M54" s="16"/>
    </row>
    <row r="55" spans="3:13" ht="27" customHeight="1" x14ac:dyDescent="0.35">
      <c r="C55" s="18"/>
      <c r="D55" s="14"/>
      <c r="E55" s="14"/>
      <c r="F55" s="14"/>
      <c r="G55" s="14"/>
      <c r="H55" s="14"/>
      <c r="I55" s="14"/>
      <c r="J55" s="14"/>
      <c r="K55" s="14"/>
      <c r="L55" s="15"/>
      <c r="M55" s="16"/>
    </row>
    <row r="56" spans="3:13" ht="27" customHeight="1" x14ac:dyDescent="0.35">
      <c r="C56" s="18"/>
      <c r="D56" s="14"/>
      <c r="E56" s="14"/>
      <c r="F56" s="14"/>
      <c r="G56" s="14"/>
      <c r="H56" s="14"/>
      <c r="I56" s="14"/>
      <c r="J56" s="14"/>
      <c r="K56" s="14"/>
      <c r="L56" s="15"/>
      <c r="M56" s="16"/>
    </row>
    <row r="57" spans="3:13" ht="27" customHeight="1" x14ac:dyDescent="0.35">
      <c r="C57" s="18"/>
      <c r="D57" s="14"/>
      <c r="E57" s="14"/>
      <c r="F57" s="14"/>
      <c r="G57" s="14"/>
      <c r="H57" s="14"/>
      <c r="I57" s="14"/>
      <c r="J57" s="14"/>
      <c r="K57" s="14"/>
      <c r="L57" s="15"/>
      <c r="M57" s="16"/>
    </row>
    <row r="58" spans="3:13" ht="27" customHeight="1" x14ac:dyDescent="0.35">
      <c r="C58" s="18"/>
      <c r="D58" s="14"/>
      <c r="E58" s="14"/>
      <c r="F58" s="14"/>
      <c r="G58" s="14"/>
      <c r="H58" s="14"/>
      <c r="I58" s="14"/>
      <c r="J58" s="14"/>
      <c r="K58" s="14"/>
      <c r="L58" s="15"/>
      <c r="M58" s="16"/>
    </row>
    <row r="59" spans="3:13" ht="27" customHeight="1" x14ac:dyDescent="0.35">
      <c r="C59" s="18"/>
      <c r="D59" s="14"/>
      <c r="E59" s="14"/>
      <c r="F59" s="14"/>
      <c r="G59" s="14"/>
      <c r="H59" s="14"/>
      <c r="I59" s="14"/>
      <c r="J59" s="14"/>
      <c r="K59" s="14"/>
      <c r="L59" s="15"/>
      <c r="M59" s="16"/>
    </row>
    <row r="60" spans="3:13" ht="27" customHeight="1" x14ac:dyDescent="0.35">
      <c r="C60" s="14"/>
      <c r="D60" s="14"/>
      <c r="E60" s="14"/>
      <c r="F60" s="14"/>
      <c r="G60" s="14"/>
      <c r="H60" s="14"/>
      <c r="I60" s="14"/>
      <c r="J60" s="14"/>
      <c r="K60" s="14"/>
      <c r="L60" s="15"/>
      <c r="M60" s="16"/>
    </row>
    <row r="61" spans="3:13" ht="27" customHeight="1" x14ac:dyDescent="0.25">
      <c r="C61" s="84" t="s">
        <v>223</v>
      </c>
      <c r="D61" s="84"/>
      <c r="E61" s="84"/>
      <c r="F61" s="84"/>
      <c r="G61" s="84"/>
      <c r="H61" s="84"/>
      <c r="I61" s="84"/>
      <c r="J61" s="84"/>
      <c r="K61" s="84"/>
      <c r="L61" s="84"/>
      <c r="M61" s="85"/>
    </row>
    <row r="62" spans="3:13" ht="27" customHeight="1" x14ac:dyDescent="0.25">
      <c r="C62" s="24" t="s">
        <v>1</v>
      </c>
      <c r="D62" s="24" t="s">
        <v>2</v>
      </c>
      <c r="E62" s="24" t="s">
        <v>3</v>
      </c>
      <c r="F62" s="24" t="s">
        <v>4</v>
      </c>
      <c r="G62" s="24" t="s">
        <v>5</v>
      </c>
      <c r="H62" s="24" t="s">
        <v>59</v>
      </c>
      <c r="I62" s="24" t="s">
        <v>193</v>
      </c>
      <c r="J62" s="24" t="s">
        <v>194</v>
      </c>
      <c r="K62" s="24" t="s">
        <v>6</v>
      </c>
      <c r="L62" s="24" t="s">
        <v>60</v>
      </c>
      <c r="M62" s="24" t="s">
        <v>7</v>
      </c>
    </row>
    <row r="63" spans="3:13" ht="27" customHeight="1" x14ac:dyDescent="0.3">
      <c r="C63" s="10"/>
      <c r="D63" s="38" t="str">
        <f>IF(C63="","",VLOOKUP(C63,CelikKapiGrubu!$A:$C,2,0))</f>
        <v/>
      </c>
      <c r="E63" s="11"/>
      <c r="F63" s="10"/>
      <c r="G63" s="11">
        <v>0</v>
      </c>
      <c r="H63" s="37" t="str">
        <f>IF(C63="","",VLOOKUP(C63,[1]IcKapiGrubu!$A:$C,3,0))</f>
        <v/>
      </c>
      <c r="I63" s="20">
        <v>0</v>
      </c>
      <c r="J63" s="20">
        <v>0</v>
      </c>
      <c r="K63" s="25" t="s">
        <v>8</v>
      </c>
      <c r="L63" s="33" t="str">
        <f>IF(G63&gt;0,ROUND(H63*(1-I63/100)*(1-J63/100),2),"")</f>
        <v/>
      </c>
      <c r="M63" s="34" t="str">
        <f>IF(G63&gt;0,L63*G63,"")</f>
        <v/>
      </c>
    </row>
    <row r="64" spans="3:13" ht="27" customHeight="1" x14ac:dyDescent="0.3">
      <c r="C64" s="10"/>
      <c r="D64" s="38" t="str">
        <f>IF(C64="","",VLOOKUP(C64,CelikKapiGrubu!$A:$C,2,0))</f>
        <v/>
      </c>
      <c r="E64" s="11"/>
      <c r="F64" s="10"/>
      <c r="G64" s="11">
        <v>0</v>
      </c>
      <c r="H64" s="37" t="str">
        <f>IF(C64="","",VLOOKUP(C64,[1]IcKapiGrubu!$A:$C,3,0))</f>
        <v/>
      </c>
      <c r="I64" s="20">
        <v>0</v>
      </c>
      <c r="J64" s="20">
        <v>0</v>
      </c>
      <c r="K64" s="25" t="s">
        <v>8</v>
      </c>
      <c r="L64" s="33" t="str">
        <f t="shared" ref="L64:L69" si="1">IF(G64&gt;0,ROUND(H64*(1-I64/100)*(1-J64/100),2),"")</f>
        <v/>
      </c>
      <c r="M64" s="34" t="str">
        <f t="shared" ref="M64:M69" si="2">IF(G64&gt;0,L64*G64,"")</f>
        <v/>
      </c>
    </row>
    <row r="65" spans="1:13" ht="27" customHeight="1" x14ac:dyDescent="0.3">
      <c r="C65" s="47"/>
      <c r="D65" s="38" t="str">
        <f>IF(C65="","",VLOOKUP(C65,CelikKapiGrubu!$A:$C,2,0))</f>
        <v/>
      </c>
      <c r="E65" s="11"/>
      <c r="F65" s="10"/>
      <c r="G65" s="11">
        <v>0</v>
      </c>
      <c r="H65" s="37" t="str">
        <f>IF(C65="","",VLOOKUP(C65,[1]IcKapiGrubu!$A:$C,3,0))</f>
        <v/>
      </c>
      <c r="I65" s="20">
        <v>0</v>
      </c>
      <c r="J65" s="20">
        <v>0</v>
      </c>
      <c r="K65" s="25" t="s">
        <v>8</v>
      </c>
      <c r="L65" s="33" t="str">
        <f t="shared" si="1"/>
        <v/>
      </c>
      <c r="M65" s="34" t="str">
        <f t="shared" si="2"/>
        <v/>
      </c>
    </row>
    <row r="66" spans="1:13" ht="27" customHeight="1" x14ac:dyDescent="0.3">
      <c r="C66" s="10"/>
      <c r="D66" s="38" t="str">
        <f>IF(C66="","",VLOOKUP(C66,CelikKapiGrubu!$A:$C,2,0))</f>
        <v/>
      </c>
      <c r="E66" s="11"/>
      <c r="F66" s="10"/>
      <c r="G66" s="11">
        <v>0</v>
      </c>
      <c r="H66" s="37" t="str">
        <f>IF(C66="","",VLOOKUP(C66,[1]IcKapiGrubu!$A:$C,3,0))</f>
        <v/>
      </c>
      <c r="I66" s="20">
        <v>0</v>
      </c>
      <c r="J66" s="20">
        <v>0</v>
      </c>
      <c r="K66" s="25" t="s">
        <v>8</v>
      </c>
      <c r="L66" s="33" t="str">
        <f t="shared" si="1"/>
        <v/>
      </c>
      <c r="M66" s="34" t="str">
        <f t="shared" si="2"/>
        <v/>
      </c>
    </row>
    <row r="67" spans="1:13" ht="27" customHeight="1" x14ac:dyDescent="0.3">
      <c r="C67" s="10"/>
      <c r="D67" s="38" t="str">
        <f>IF(C67="","",VLOOKUP(C67,CelikKapiGrubu!$A:$C,2,0))</f>
        <v/>
      </c>
      <c r="E67" s="11"/>
      <c r="F67" s="10"/>
      <c r="G67" s="11">
        <v>0</v>
      </c>
      <c r="H67" s="37" t="str">
        <f>IF(C67="","",VLOOKUP(C67,[1]IcKapiGrubu!$A:$C,3,0))</f>
        <v/>
      </c>
      <c r="I67" s="20">
        <v>0</v>
      </c>
      <c r="J67" s="20">
        <v>0</v>
      </c>
      <c r="K67" s="25" t="s">
        <v>8</v>
      </c>
      <c r="L67" s="33" t="str">
        <f t="shared" si="1"/>
        <v/>
      </c>
      <c r="M67" s="34" t="str">
        <f t="shared" si="2"/>
        <v/>
      </c>
    </row>
    <row r="68" spans="1:13" ht="27" customHeight="1" x14ac:dyDescent="0.3">
      <c r="C68" s="10"/>
      <c r="D68" s="38" t="str">
        <f>IF(C68="","",VLOOKUP(C68,CelikKapiGrubu!$A:$C,2,0))</f>
        <v/>
      </c>
      <c r="E68" s="11"/>
      <c r="F68" s="10"/>
      <c r="G68" s="11">
        <v>0</v>
      </c>
      <c r="H68" s="37" t="str">
        <f>IF(C68="","",VLOOKUP(C68,[1]IcKapiGrubu!$A:$C,3,0))</f>
        <v/>
      </c>
      <c r="I68" s="20">
        <v>0</v>
      </c>
      <c r="J68" s="20">
        <v>0</v>
      </c>
      <c r="K68" s="25" t="s">
        <v>8</v>
      </c>
      <c r="L68" s="33" t="str">
        <f t="shared" si="1"/>
        <v/>
      </c>
      <c r="M68" s="34" t="str">
        <f t="shared" si="2"/>
        <v/>
      </c>
    </row>
    <row r="69" spans="1:13" ht="27" customHeight="1" x14ac:dyDescent="0.3">
      <c r="C69" s="12"/>
      <c r="D69" s="38" t="str">
        <f>IF(C69="","",VLOOKUP(C69,CelikKapiGrubu!$A:$C,2,0))</f>
        <v/>
      </c>
      <c r="E69" s="11"/>
      <c r="F69" s="13"/>
      <c r="G69" s="11">
        <v>0</v>
      </c>
      <c r="H69" s="37" t="str">
        <f>IF(C69="","",VLOOKUP(C69,[1]IcKapiGrubu!$A:$C,3,0))</f>
        <v/>
      </c>
      <c r="I69" s="20">
        <v>0</v>
      </c>
      <c r="J69" s="20">
        <v>0</v>
      </c>
      <c r="K69" s="25" t="s">
        <v>8</v>
      </c>
      <c r="L69" s="33" t="str">
        <f t="shared" si="1"/>
        <v/>
      </c>
      <c r="M69" s="34" t="str">
        <f t="shared" si="2"/>
        <v/>
      </c>
    </row>
    <row r="70" spans="1:13" ht="27" customHeight="1" x14ac:dyDescent="0.35">
      <c r="D70" s="8"/>
      <c r="E70" s="8"/>
      <c r="F70" s="8"/>
      <c r="G70" s="9">
        <f>SUM(G63:G69)</f>
        <v>0</v>
      </c>
      <c r="H70" s="68"/>
      <c r="I70" s="68"/>
      <c r="J70" s="68"/>
      <c r="K70" s="55"/>
      <c r="L70" s="19" t="s">
        <v>9</v>
      </c>
      <c r="M70" s="35">
        <f>SUM(M63:M69)</f>
        <v>0</v>
      </c>
    </row>
    <row r="71" spans="1:13" ht="27" customHeight="1" x14ac:dyDescent="0.35">
      <c r="C71" s="64" t="s">
        <v>224</v>
      </c>
      <c r="D71" s="8"/>
      <c r="E71" s="8"/>
      <c r="F71" s="8"/>
      <c r="G71" s="8"/>
      <c r="H71" s="8"/>
      <c r="I71" s="8"/>
      <c r="J71" s="8"/>
      <c r="K71" s="55"/>
      <c r="L71" s="19" t="s">
        <v>10</v>
      </c>
      <c r="M71" s="36">
        <f>M70*20/100</f>
        <v>0</v>
      </c>
    </row>
    <row r="72" spans="1:13" ht="27" customHeight="1" x14ac:dyDescent="0.35">
      <c r="C72" s="18" t="s">
        <v>225</v>
      </c>
      <c r="D72" s="14"/>
      <c r="E72" s="14"/>
      <c r="F72" s="14"/>
      <c r="G72" s="14"/>
      <c r="H72" s="14"/>
      <c r="I72" s="14"/>
      <c r="J72" s="14"/>
      <c r="K72" s="27"/>
      <c r="L72" s="19" t="s">
        <v>12</v>
      </c>
      <c r="M72" s="35">
        <f>M71+M70</f>
        <v>0</v>
      </c>
    </row>
    <row r="73" spans="1:13" ht="27" customHeight="1" x14ac:dyDescent="0.35">
      <c r="C73" s="18" t="s">
        <v>226</v>
      </c>
      <c r="D73" s="14"/>
      <c r="E73" s="14"/>
      <c r="F73" s="14"/>
      <c r="G73" s="14"/>
      <c r="H73" s="14"/>
      <c r="I73" s="14"/>
      <c r="J73" s="14"/>
      <c r="K73" s="27"/>
      <c r="L73" s="32"/>
      <c r="M73" s="49"/>
    </row>
    <row r="74" spans="1:13" ht="27" customHeight="1" x14ac:dyDescent="0.35">
      <c r="A74" s="28"/>
      <c r="B74" s="28"/>
      <c r="C74" s="18" t="s">
        <v>227</v>
      </c>
      <c r="D74" s="14"/>
      <c r="E74" s="14"/>
      <c r="F74" s="14"/>
      <c r="G74" s="14"/>
      <c r="H74" s="14"/>
      <c r="I74" s="14"/>
      <c r="J74" s="14"/>
      <c r="K74" s="14"/>
      <c r="L74" s="15"/>
      <c r="M74" s="16"/>
    </row>
    <row r="75" spans="1:13" ht="27" customHeight="1" x14ac:dyDescent="0.35">
      <c r="A75" s="28"/>
      <c r="B75" s="28"/>
      <c r="C75" s="18" t="s">
        <v>228</v>
      </c>
      <c r="D75" s="14"/>
      <c r="E75" s="14"/>
      <c r="F75" s="14"/>
      <c r="G75" s="14"/>
      <c r="H75" s="14"/>
      <c r="I75" s="14"/>
      <c r="J75" s="14"/>
      <c r="K75" s="14"/>
      <c r="L75" s="15"/>
      <c r="M75" s="16"/>
    </row>
    <row r="76" spans="1:13" ht="27" customHeight="1" thickBot="1" x14ac:dyDescent="0.4">
      <c r="A76" s="28"/>
      <c r="B76" s="28"/>
      <c r="C76" s="27"/>
      <c r="D76" s="27"/>
      <c r="E76" s="27"/>
      <c r="F76" s="27"/>
      <c r="G76" s="27"/>
      <c r="H76" s="27"/>
      <c r="I76" s="27"/>
      <c r="J76" s="27"/>
      <c r="K76" s="27"/>
      <c r="L76" s="32"/>
      <c r="M76" s="49"/>
    </row>
    <row r="77" spans="1:13" ht="27" customHeight="1" thickBot="1" x14ac:dyDescent="0.3">
      <c r="C77" s="115" t="s">
        <v>198</v>
      </c>
      <c r="D77" s="116"/>
      <c r="E77" s="58"/>
      <c r="F77" s="58"/>
      <c r="G77" s="58"/>
      <c r="H77" s="58"/>
      <c r="I77" s="58"/>
      <c r="J77" s="115" t="s">
        <v>205</v>
      </c>
      <c r="K77" s="117"/>
      <c r="L77" s="116"/>
      <c r="M77" s="16"/>
    </row>
    <row r="78" spans="1:13" ht="27" customHeight="1" x14ac:dyDescent="0.35">
      <c r="C78" s="50" t="s">
        <v>199</v>
      </c>
      <c r="D78" s="53"/>
      <c r="E78" s="58"/>
      <c r="F78" s="58"/>
      <c r="G78" s="58"/>
      <c r="H78" s="58"/>
      <c r="I78" s="58"/>
      <c r="J78" s="121" t="s">
        <v>30</v>
      </c>
      <c r="K78" s="122"/>
      <c r="L78" s="56">
        <f>M45</f>
        <v>0</v>
      </c>
      <c r="M78" s="16"/>
    </row>
    <row r="79" spans="1:13" ht="27" customHeight="1" thickBot="1" x14ac:dyDescent="0.4">
      <c r="C79" s="51" t="s">
        <v>200</v>
      </c>
      <c r="D79" s="53"/>
      <c r="E79" s="58"/>
      <c r="F79" s="58"/>
      <c r="G79" s="58"/>
      <c r="H79" s="58"/>
      <c r="I79" s="58"/>
      <c r="J79" s="123" t="s">
        <v>461</v>
      </c>
      <c r="K79" s="124"/>
      <c r="L79" s="57">
        <f>M72</f>
        <v>0</v>
      </c>
      <c r="M79" s="16"/>
    </row>
    <row r="80" spans="1:13" ht="27" customHeight="1" thickBot="1" x14ac:dyDescent="0.4">
      <c r="C80" s="51" t="s">
        <v>201</v>
      </c>
      <c r="D80" s="53"/>
      <c r="E80" s="58"/>
      <c r="F80" s="58"/>
      <c r="G80" s="58"/>
      <c r="H80" s="58"/>
      <c r="I80" s="58"/>
      <c r="J80" s="123" t="s">
        <v>205</v>
      </c>
      <c r="K80" s="124"/>
      <c r="L80" s="57">
        <f>M72+M45</f>
        <v>0</v>
      </c>
      <c r="M80" s="16"/>
    </row>
    <row r="81" spans="2:13" ht="27" customHeight="1" x14ac:dyDescent="0.35">
      <c r="C81" s="51" t="s">
        <v>202</v>
      </c>
      <c r="D81" s="53"/>
      <c r="E81" s="58"/>
      <c r="F81" s="58"/>
      <c r="G81" s="58"/>
      <c r="H81" s="58"/>
      <c r="I81" s="58"/>
      <c r="J81" s="14"/>
      <c r="K81" s="14"/>
      <c r="L81" s="15"/>
      <c r="M81" s="16"/>
    </row>
    <row r="82" spans="2:13" ht="27" customHeight="1" x14ac:dyDescent="0.35">
      <c r="C82" s="51" t="s">
        <v>203</v>
      </c>
      <c r="D82" s="53"/>
      <c r="E82" s="58"/>
      <c r="F82" s="58"/>
      <c r="G82" s="58"/>
      <c r="H82" s="58"/>
      <c r="I82" s="58"/>
      <c r="J82" s="14"/>
      <c r="K82" s="14"/>
      <c r="L82" s="15"/>
      <c r="M82" s="16"/>
    </row>
    <row r="83" spans="2:13" ht="27" customHeight="1" thickBot="1" x14ac:dyDescent="0.4">
      <c r="C83" s="52" t="s">
        <v>204</v>
      </c>
      <c r="D83" s="54"/>
      <c r="E83" s="58"/>
      <c r="F83" s="58"/>
      <c r="G83" s="58"/>
      <c r="H83" s="58"/>
      <c r="I83" s="58"/>
      <c r="J83" s="14"/>
      <c r="K83" s="14"/>
      <c r="L83" s="15"/>
      <c r="M83" s="16"/>
    </row>
    <row r="84" spans="2:13" ht="27" customHeight="1" x14ac:dyDescent="0.35">
      <c r="C84" s="14"/>
      <c r="D84" s="14"/>
      <c r="E84" s="58"/>
      <c r="F84" s="58"/>
      <c r="G84" s="58"/>
      <c r="H84" s="58"/>
      <c r="I84" s="58"/>
      <c r="J84" s="14"/>
      <c r="K84" s="14"/>
      <c r="L84" s="15"/>
      <c r="M84" s="16"/>
    </row>
    <row r="85" spans="2:13" ht="27" customHeight="1" x14ac:dyDescent="0.25">
      <c r="C85" s="83" t="s">
        <v>63</v>
      </c>
      <c r="D85" s="83"/>
      <c r="E85" s="83"/>
      <c r="F85" s="83"/>
      <c r="G85" s="83"/>
      <c r="H85" s="83"/>
      <c r="I85" s="83"/>
      <c r="J85" s="83"/>
      <c r="K85" s="83"/>
      <c r="L85" s="83"/>
      <c r="M85" s="83"/>
    </row>
    <row r="86" spans="2:13" ht="27" customHeight="1" x14ac:dyDescent="0.25">
      <c r="C86" s="84" t="s">
        <v>208</v>
      </c>
      <c r="D86" s="84"/>
      <c r="E86" s="84"/>
      <c r="F86" s="84"/>
      <c r="G86" s="84"/>
      <c r="H86" s="84"/>
      <c r="I86" s="84"/>
      <c r="J86" s="84"/>
      <c r="K86" s="84"/>
      <c r="L86" s="84"/>
      <c r="M86" s="85"/>
    </row>
    <row r="87" spans="2:13" ht="27" customHeight="1" x14ac:dyDescent="0.3">
      <c r="B87" s="28"/>
      <c r="C87" s="26" t="s">
        <v>15</v>
      </c>
      <c r="D87" s="59"/>
      <c r="E87" s="59"/>
      <c r="F87" s="26"/>
      <c r="G87" s="27"/>
      <c r="H87" s="27"/>
      <c r="I87" s="127" t="s">
        <v>209</v>
      </c>
      <c r="J87" s="127"/>
      <c r="K87" s="127"/>
      <c r="L87" s="127"/>
      <c r="M87" s="127"/>
    </row>
    <row r="88" spans="2:13" ht="27" customHeight="1" x14ac:dyDescent="0.25">
      <c r="B88" s="28"/>
      <c r="C88" s="26" t="s">
        <v>16</v>
      </c>
      <c r="D88" s="59"/>
      <c r="E88" s="59"/>
      <c r="F88" s="26"/>
      <c r="G88" s="27"/>
      <c r="H88" s="27"/>
      <c r="I88" s="128" t="s">
        <v>219</v>
      </c>
      <c r="J88" s="128"/>
      <c r="K88" s="128"/>
      <c r="L88" s="128"/>
      <c r="M88" s="128"/>
    </row>
    <row r="89" spans="2:13" ht="27" customHeight="1" x14ac:dyDescent="0.25">
      <c r="B89" s="28"/>
      <c r="C89" s="26" t="s">
        <v>17</v>
      </c>
      <c r="D89" s="59"/>
      <c r="E89" s="59"/>
      <c r="F89" s="26"/>
      <c r="G89" s="27"/>
      <c r="H89" s="27"/>
      <c r="I89" s="128" t="s">
        <v>220</v>
      </c>
      <c r="J89" s="128"/>
      <c r="K89" s="128"/>
      <c r="L89" s="128"/>
      <c r="M89" s="128"/>
    </row>
    <row r="90" spans="2:13" ht="27" customHeight="1" x14ac:dyDescent="0.25">
      <c r="B90" s="28"/>
      <c r="C90" s="26" t="s">
        <v>18</v>
      </c>
      <c r="D90" s="59"/>
      <c r="E90" s="59"/>
      <c r="F90" s="26"/>
      <c r="G90" s="27"/>
      <c r="H90" s="27"/>
      <c r="I90" s="128" t="s">
        <v>210</v>
      </c>
      <c r="J90" s="128"/>
      <c r="K90" s="128"/>
      <c r="L90" s="128"/>
      <c r="M90" s="128"/>
    </row>
    <row r="91" spans="2:13" ht="27" customHeight="1" x14ac:dyDescent="0.25">
      <c r="B91" s="28"/>
      <c r="C91" s="26" t="s">
        <v>19</v>
      </c>
      <c r="D91" s="59"/>
      <c r="E91" s="59"/>
      <c r="F91" s="26"/>
      <c r="G91" s="27"/>
      <c r="H91" s="27"/>
      <c r="I91" s="128" t="s">
        <v>211</v>
      </c>
      <c r="J91" s="128"/>
      <c r="K91" s="128"/>
      <c r="L91" s="128"/>
      <c r="M91" s="128"/>
    </row>
    <row r="92" spans="2:13" ht="27" customHeight="1" x14ac:dyDescent="0.25">
      <c r="B92" s="28"/>
      <c r="C92" s="26" t="s">
        <v>20</v>
      </c>
      <c r="D92" s="59"/>
      <c r="E92" s="59"/>
      <c r="F92" s="26"/>
      <c r="G92" s="27"/>
      <c r="H92" s="27"/>
      <c r="I92" s="128" t="s">
        <v>212</v>
      </c>
      <c r="J92" s="128"/>
      <c r="K92" s="128"/>
      <c r="L92" s="128"/>
      <c r="M92" s="128"/>
    </row>
    <row r="93" spans="2:13" ht="27" customHeight="1" x14ac:dyDescent="0.25">
      <c r="B93" s="28"/>
      <c r="C93" s="26" t="s">
        <v>21</v>
      </c>
      <c r="D93" s="59"/>
      <c r="E93" s="59"/>
      <c r="F93" s="26"/>
      <c r="G93" s="27"/>
      <c r="H93" s="27"/>
      <c r="I93" s="128" t="s">
        <v>213</v>
      </c>
      <c r="J93" s="128"/>
      <c r="K93" s="128"/>
      <c r="L93" s="128"/>
      <c r="M93" s="128"/>
    </row>
    <row r="94" spans="2:13" ht="50.25" customHeight="1" x14ac:dyDescent="0.35">
      <c r="B94" s="28"/>
      <c r="C94" s="120" t="s">
        <v>58</v>
      </c>
      <c r="D94" s="120"/>
      <c r="E94" s="120"/>
      <c r="F94" s="120"/>
      <c r="G94" s="27"/>
      <c r="H94" s="27"/>
      <c r="I94" s="27"/>
      <c r="J94" s="27"/>
      <c r="K94" s="27"/>
      <c r="L94" s="32"/>
      <c r="M94" s="29"/>
    </row>
    <row r="95" spans="2:13" ht="27" customHeight="1" x14ac:dyDescent="0.35">
      <c r="B95" s="28"/>
      <c r="C95" s="26" t="s">
        <v>57</v>
      </c>
      <c r="D95" s="59"/>
      <c r="E95" s="59"/>
      <c r="F95" s="26"/>
      <c r="G95" s="27"/>
      <c r="H95" s="27"/>
      <c r="I95" s="26" t="str">
        <f ca="1">"İşbu sözleşme "&amp;TEXT(TODAY(),"gg/aa/yyyy")&amp;" tarihinde iki nüsha olarak imzalanmış ve yürürlüğe girmiştir."</f>
        <v>İşbu sözleşme 14/03/2026 tarihinde iki nüsha olarak imzalanmış ve yürürlüğe girmiştir.</v>
      </c>
      <c r="J95" s="27"/>
      <c r="K95" s="27"/>
      <c r="L95" s="32"/>
      <c r="M95" s="17"/>
    </row>
    <row r="96" spans="2:13" ht="27" customHeight="1" x14ac:dyDescent="0.25">
      <c r="C96" s="84" t="s">
        <v>32</v>
      </c>
      <c r="D96" s="84"/>
      <c r="E96" s="84"/>
      <c r="F96" s="84"/>
      <c r="G96" s="84"/>
      <c r="H96" s="84"/>
      <c r="I96" s="84"/>
      <c r="J96" s="84"/>
      <c r="K96" s="84"/>
      <c r="L96" s="84"/>
      <c r="M96" s="85"/>
    </row>
    <row r="97" spans="3:13" ht="27" customHeight="1" thickBot="1" x14ac:dyDescent="0.3">
      <c r="C97" s="126"/>
      <c r="D97" s="126"/>
      <c r="E97" s="126"/>
      <c r="F97" s="126"/>
      <c r="G97" s="126"/>
      <c r="H97" s="126"/>
      <c r="I97" s="126"/>
      <c r="J97" s="126"/>
      <c r="K97" s="126"/>
      <c r="L97" s="126"/>
      <c r="M97" s="126"/>
    </row>
    <row r="98" spans="3:13" ht="27" customHeight="1" x14ac:dyDescent="0.25">
      <c r="C98" s="118" t="s">
        <v>33</v>
      </c>
      <c r="D98" s="119"/>
      <c r="E98" s="133"/>
      <c r="F98" s="134"/>
      <c r="G98" s="134"/>
      <c r="H98" s="134"/>
      <c r="I98" s="134"/>
      <c r="J98" s="135"/>
      <c r="K98" s="118" t="s">
        <v>207</v>
      </c>
      <c r="L98" s="129"/>
      <c r="M98" s="119"/>
    </row>
    <row r="99" spans="3:13" ht="27" customHeight="1" x14ac:dyDescent="0.25">
      <c r="C99" s="30" t="s">
        <v>22</v>
      </c>
      <c r="D99" s="65" t="s">
        <v>27</v>
      </c>
      <c r="E99" s="133"/>
      <c r="F99" s="134"/>
      <c r="G99" s="134"/>
      <c r="H99" s="134"/>
      <c r="I99" s="134"/>
      <c r="J99" s="135"/>
      <c r="K99" s="130" t="s">
        <v>206</v>
      </c>
      <c r="L99" s="131"/>
      <c r="M99" s="132"/>
    </row>
    <row r="100" spans="3:13" ht="27" customHeight="1" x14ac:dyDescent="0.25">
      <c r="C100" s="30" t="s">
        <v>23</v>
      </c>
      <c r="D100" s="65" t="s">
        <v>29</v>
      </c>
      <c r="E100" s="133"/>
      <c r="F100" s="134"/>
      <c r="G100" s="134"/>
      <c r="H100" s="134"/>
      <c r="I100" s="134"/>
      <c r="J100" s="135"/>
      <c r="K100" s="130" t="s">
        <v>216</v>
      </c>
      <c r="L100" s="131"/>
      <c r="M100" s="132"/>
    </row>
    <row r="101" spans="3:13" ht="27" customHeight="1" x14ac:dyDescent="0.25">
      <c r="C101" s="30" t="s">
        <v>218</v>
      </c>
      <c r="D101" s="65" t="s">
        <v>26</v>
      </c>
      <c r="E101" s="133"/>
      <c r="F101" s="134"/>
      <c r="G101" s="134"/>
      <c r="H101" s="134"/>
      <c r="I101" s="134"/>
      <c r="J101" s="135"/>
      <c r="K101" s="130" t="s">
        <v>217</v>
      </c>
      <c r="L101" s="131"/>
      <c r="M101" s="132"/>
    </row>
    <row r="102" spans="3:13" ht="27" customHeight="1" thickBot="1" x14ac:dyDescent="0.3">
      <c r="C102" s="31" t="s">
        <v>24</v>
      </c>
      <c r="D102" s="66" t="s">
        <v>28</v>
      </c>
      <c r="E102" s="133"/>
      <c r="F102" s="134"/>
      <c r="G102" s="134"/>
      <c r="H102" s="134"/>
      <c r="I102" s="134"/>
      <c r="J102" s="135"/>
      <c r="K102" s="67"/>
      <c r="L102" s="40"/>
      <c r="M102" s="41"/>
    </row>
    <row r="103" spans="3:13" ht="27" customHeight="1" x14ac:dyDescent="0.25">
      <c r="C103" s="27"/>
      <c r="D103" s="27"/>
      <c r="E103" s="27"/>
      <c r="F103" s="27"/>
      <c r="G103" s="28"/>
      <c r="H103" s="28"/>
      <c r="I103" s="28"/>
      <c r="J103" s="28"/>
      <c r="K103" s="28"/>
      <c r="L103" s="28"/>
      <c r="M103" s="28"/>
    </row>
    <row r="104" spans="3:13" ht="27" customHeight="1" thickBot="1" x14ac:dyDescent="0.3">
      <c r="C104" s="84" t="s">
        <v>215</v>
      </c>
      <c r="D104" s="84"/>
      <c r="E104" s="84"/>
      <c r="F104" s="84"/>
      <c r="G104" s="84"/>
      <c r="H104" s="84"/>
      <c r="I104" s="84"/>
      <c r="J104" s="84"/>
      <c r="K104" s="84"/>
      <c r="L104" s="84"/>
      <c r="M104" s="85"/>
    </row>
    <row r="105" spans="3:13" ht="27" customHeight="1" thickBot="1" x14ac:dyDescent="0.3">
      <c r="C105" s="115" t="s">
        <v>34</v>
      </c>
      <c r="D105" s="116"/>
      <c r="E105" s="28"/>
      <c r="F105" s="28"/>
      <c r="G105" s="28"/>
      <c r="H105" s="28"/>
      <c r="I105" s="28"/>
      <c r="J105" s="115">
        <f>D23</f>
        <v>0</v>
      </c>
      <c r="K105" s="117"/>
      <c r="L105" s="117"/>
      <c r="M105" s="116"/>
    </row>
    <row r="106" spans="3:13" ht="27" customHeight="1" x14ac:dyDescent="0.25">
      <c r="C106" s="28"/>
      <c r="D106" s="28"/>
      <c r="E106" s="28"/>
      <c r="F106" s="28"/>
      <c r="G106" s="28"/>
      <c r="H106" s="28"/>
      <c r="I106" s="28"/>
      <c r="J106" s="28"/>
      <c r="K106" s="28"/>
      <c r="L106" s="28"/>
      <c r="M106" s="28"/>
    </row>
    <row r="107" spans="3:13" ht="27" customHeight="1" x14ac:dyDescent="0.25">
      <c r="C107" s="28"/>
      <c r="D107" s="28"/>
      <c r="E107" s="28"/>
      <c r="F107" s="28"/>
      <c r="G107" s="28"/>
      <c r="H107" s="28"/>
      <c r="I107" s="28"/>
      <c r="J107" s="28"/>
      <c r="K107" s="28"/>
      <c r="L107" s="28"/>
      <c r="M107" s="28"/>
    </row>
    <row r="108" spans="3:13" ht="27" customHeight="1" x14ac:dyDescent="0.25">
      <c r="C108" s="28"/>
      <c r="D108" s="28"/>
      <c r="E108" s="28"/>
      <c r="F108" s="28"/>
      <c r="G108" s="28"/>
      <c r="H108" s="28"/>
      <c r="I108" s="28"/>
      <c r="J108" s="28"/>
      <c r="K108" s="28"/>
      <c r="L108" s="28"/>
      <c r="M108" s="28"/>
    </row>
    <row r="109" spans="3:13" ht="27" customHeight="1" x14ac:dyDescent="0.25">
      <c r="C109" s="28"/>
      <c r="D109" s="28"/>
      <c r="E109" s="28"/>
      <c r="F109" s="28"/>
      <c r="G109" s="28"/>
      <c r="H109" s="28"/>
      <c r="I109" s="28"/>
      <c r="J109" s="28"/>
      <c r="K109" s="28"/>
      <c r="L109" s="28"/>
      <c r="M109" s="28"/>
    </row>
    <row r="110" spans="3:13" ht="27" customHeight="1" x14ac:dyDescent="0.25">
      <c r="C110" s="28"/>
      <c r="D110" s="28"/>
      <c r="E110" s="28"/>
      <c r="F110" s="28"/>
      <c r="G110" s="28"/>
      <c r="H110" s="28"/>
      <c r="I110" s="28"/>
      <c r="J110" s="28"/>
      <c r="K110" s="28"/>
      <c r="L110" s="28"/>
      <c r="M110" s="28"/>
    </row>
    <row r="111" spans="3:13" ht="27" customHeight="1" x14ac:dyDescent="0.25">
      <c r="C111" s="28"/>
      <c r="D111" s="28"/>
      <c r="E111" s="28"/>
      <c r="F111" s="28"/>
      <c r="G111" s="28"/>
      <c r="H111" s="28"/>
      <c r="I111" s="28"/>
      <c r="J111" s="28"/>
      <c r="K111" s="28"/>
      <c r="L111" s="28"/>
      <c r="M111" s="28"/>
    </row>
    <row r="112" spans="3:13" ht="27" customHeight="1" x14ac:dyDescent="0.25">
      <c r="C112" s="28"/>
      <c r="D112" s="28"/>
      <c r="E112" s="28"/>
      <c r="F112" s="28"/>
      <c r="G112" s="28"/>
      <c r="H112" s="28"/>
      <c r="I112" s="28"/>
      <c r="J112" s="28"/>
      <c r="K112" s="28"/>
      <c r="L112" s="28"/>
      <c r="M112" s="28"/>
    </row>
    <row r="113" spans="3:13" ht="27" customHeight="1" x14ac:dyDescent="0.25">
      <c r="C113" s="28"/>
      <c r="D113" s="28"/>
      <c r="E113" s="28"/>
      <c r="F113" s="28"/>
      <c r="G113" s="28"/>
      <c r="H113" s="28"/>
      <c r="I113" s="28"/>
      <c r="J113" s="28"/>
      <c r="K113" s="28"/>
      <c r="L113" s="28"/>
      <c r="M113" s="28"/>
    </row>
    <row r="114" spans="3:13" ht="27" customHeight="1" x14ac:dyDescent="0.25">
      <c r="C114" s="28"/>
      <c r="D114" s="28"/>
      <c r="E114" s="28"/>
      <c r="F114" s="28"/>
      <c r="G114" s="28"/>
      <c r="H114" s="28"/>
      <c r="I114" s="28"/>
      <c r="J114" s="28"/>
      <c r="K114" s="28"/>
      <c r="L114" s="28"/>
      <c r="M114" s="28"/>
    </row>
    <row r="115" spans="3:13" ht="27" customHeight="1" x14ac:dyDescent="0.25">
      <c r="C115" s="28"/>
      <c r="D115" s="28"/>
      <c r="E115" s="28"/>
      <c r="F115" s="28"/>
      <c r="G115" s="28"/>
      <c r="H115" s="28"/>
      <c r="I115" s="28"/>
      <c r="J115" s="28"/>
      <c r="K115" s="28"/>
      <c r="L115" s="28"/>
      <c r="M115" s="28"/>
    </row>
    <row r="116" spans="3:13" ht="27" customHeight="1" x14ac:dyDescent="0.25">
      <c r="C116" s="28"/>
      <c r="D116" s="28"/>
      <c r="E116" s="28"/>
      <c r="F116" s="28"/>
      <c r="G116" s="28"/>
      <c r="H116" s="28"/>
      <c r="I116" s="28"/>
      <c r="J116" s="28"/>
      <c r="K116" s="28"/>
      <c r="L116" s="28"/>
      <c r="M116" s="28"/>
    </row>
  </sheetData>
  <sheetProtection algorithmName="SHA-512" hashValue="5cCCzTlxkPnUvuoixH6kFXqvTGpFuvl13mv6mvhCLm2nTKF3pPgEB2fKJOz9xOwD1YO7gFJKXeYSwEmWXCWqdA==" saltValue="kenIwIs7gODWIXp0pY3Xag==" spinCount="100000" sheet="1" selectLockedCells="1"/>
  <mergeCells count="53">
    <mergeCell ref="K99:M99"/>
    <mergeCell ref="K100:M100"/>
    <mergeCell ref="K101:M101"/>
    <mergeCell ref="E98:J102"/>
    <mergeCell ref="C61:M61"/>
    <mergeCell ref="J80:K80"/>
    <mergeCell ref="C77:D77"/>
    <mergeCell ref="C20:M21"/>
    <mergeCell ref="C28:M28"/>
    <mergeCell ref="C34:M35"/>
    <mergeCell ref="J77:L77"/>
    <mergeCell ref="C105:D105"/>
    <mergeCell ref="J105:M105"/>
    <mergeCell ref="C98:D98"/>
    <mergeCell ref="C86:M86"/>
    <mergeCell ref="C94:F94"/>
    <mergeCell ref="C96:M96"/>
    <mergeCell ref="C97:M97"/>
    <mergeCell ref="I87:M87"/>
    <mergeCell ref="I88:M88"/>
    <mergeCell ref="I89:M89"/>
    <mergeCell ref="I90:M90"/>
    <mergeCell ref="I91:M91"/>
    <mergeCell ref="I92:M92"/>
    <mergeCell ref="I93:M93"/>
    <mergeCell ref="C104:M104"/>
    <mergeCell ref="K98:M98"/>
    <mergeCell ref="C85:M85"/>
    <mergeCell ref="C36:M36"/>
    <mergeCell ref="K19:M19"/>
    <mergeCell ref="C22:M22"/>
    <mergeCell ref="D23:M23"/>
    <mergeCell ref="D24:M24"/>
    <mergeCell ref="D25:M25"/>
    <mergeCell ref="D26:M26"/>
    <mergeCell ref="C29:M29"/>
    <mergeCell ref="D30:M30"/>
    <mergeCell ref="G32:K32"/>
    <mergeCell ref="D33:M33"/>
    <mergeCell ref="E16:J19"/>
    <mergeCell ref="D27:M27"/>
    <mergeCell ref="J78:K78"/>
    <mergeCell ref="J79:K79"/>
    <mergeCell ref="C12:M12"/>
    <mergeCell ref="B15:B27"/>
    <mergeCell ref="C15:M15"/>
    <mergeCell ref="C16:D16"/>
    <mergeCell ref="K16:M16"/>
    <mergeCell ref="C17:D17"/>
    <mergeCell ref="K17:M17"/>
    <mergeCell ref="C18:D18"/>
    <mergeCell ref="K18:M18"/>
    <mergeCell ref="C19:D19"/>
  </mergeCells>
  <dataValidations count="2">
    <dataValidation type="whole" showInputMessage="1" showErrorMessage="1" sqref="I38:I42 I63:I69">
      <formula1>0</formula1>
      <formula2>50</formula2>
    </dataValidation>
    <dataValidation type="whole" showInputMessage="1" showErrorMessage="1" sqref="J38:J42 J63:J69">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79"/>
  <sheetViews>
    <sheetView topLeftCell="A52" workbookViewId="0">
      <selection activeCell="A81" sqref="A81"/>
    </sheetView>
  </sheetViews>
  <sheetFormatPr defaultRowHeight="15" x14ac:dyDescent="0.25"/>
  <cols>
    <col min="1" max="1" width="27.5703125" style="28" customWidth="1"/>
    <col min="2" max="2" width="54.85546875" style="28" customWidth="1"/>
    <col min="3" max="3" width="14" style="46" customWidth="1"/>
    <col min="4" max="16384" width="9.140625" style="28"/>
  </cols>
  <sheetData>
    <row r="1" spans="1:3" x14ac:dyDescent="0.25">
      <c r="A1" s="45" t="s">
        <v>66</v>
      </c>
      <c r="B1" s="45" t="s">
        <v>67</v>
      </c>
      <c r="C1" s="46" t="s">
        <v>68</v>
      </c>
    </row>
    <row r="2" spans="1:3" x14ac:dyDescent="0.25">
      <c r="A2" s="28" t="s">
        <v>69</v>
      </c>
      <c r="B2" s="28" t="s">
        <v>70</v>
      </c>
      <c r="C2" s="46">
        <v>15436.64</v>
      </c>
    </row>
    <row r="3" spans="1:3" x14ac:dyDescent="0.25">
      <c r="A3" s="28" t="s">
        <v>71</v>
      </c>
      <c r="B3" s="28" t="s">
        <v>72</v>
      </c>
      <c r="C3" s="46">
        <v>16230.18</v>
      </c>
    </row>
    <row r="4" spans="1:3" x14ac:dyDescent="0.25">
      <c r="A4" s="28" t="s">
        <v>73</v>
      </c>
      <c r="B4" s="28" t="s">
        <v>74</v>
      </c>
      <c r="C4" s="46">
        <v>17041.71</v>
      </c>
    </row>
    <row r="5" spans="1:3" x14ac:dyDescent="0.25">
      <c r="A5" s="28" t="s">
        <v>75</v>
      </c>
      <c r="B5" s="28" t="s">
        <v>76</v>
      </c>
      <c r="C5" s="46">
        <v>16410.45</v>
      </c>
    </row>
    <row r="6" spans="1:3" x14ac:dyDescent="0.25">
      <c r="A6" s="28" t="s">
        <v>77</v>
      </c>
      <c r="B6" s="28" t="s">
        <v>78</v>
      </c>
      <c r="C6" s="46">
        <v>17619.25</v>
      </c>
    </row>
    <row r="7" spans="1:3" x14ac:dyDescent="0.25">
      <c r="A7" s="28" t="s">
        <v>79</v>
      </c>
      <c r="B7" s="28" t="s">
        <v>80</v>
      </c>
      <c r="C7" s="46">
        <v>18796.560000000001</v>
      </c>
    </row>
    <row r="8" spans="1:3" x14ac:dyDescent="0.25">
      <c r="A8" s="28" t="s">
        <v>81</v>
      </c>
      <c r="B8" s="28" t="s">
        <v>82</v>
      </c>
      <c r="C8" s="46">
        <v>28187.18</v>
      </c>
    </row>
    <row r="9" spans="1:3" x14ac:dyDescent="0.25">
      <c r="A9" s="28" t="s">
        <v>83</v>
      </c>
      <c r="B9" s="28" t="s">
        <v>84</v>
      </c>
      <c r="C9" s="46">
        <v>29374.99</v>
      </c>
    </row>
    <row r="10" spans="1:3" x14ac:dyDescent="0.25">
      <c r="A10" s="28" t="s">
        <v>85</v>
      </c>
      <c r="B10" s="28" t="s">
        <v>86</v>
      </c>
      <c r="C10" s="46">
        <v>30604.959999999999</v>
      </c>
    </row>
    <row r="11" spans="1:3" x14ac:dyDescent="0.25">
      <c r="A11" s="28" t="s">
        <v>87</v>
      </c>
      <c r="B11" s="28" t="s">
        <v>88</v>
      </c>
      <c r="C11" s="46">
        <v>2795.77</v>
      </c>
    </row>
    <row r="12" spans="1:3" x14ac:dyDescent="0.25">
      <c r="A12" s="28" t="s">
        <v>89</v>
      </c>
      <c r="B12" s="28" t="s">
        <v>90</v>
      </c>
      <c r="C12" s="46">
        <v>3429.66</v>
      </c>
    </row>
    <row r="13" spans="1:3" x14ac:dyDescent="0.25">
      <c r="A13" s="28" t="s">
        <v>91</v>
      </c>
      <c r="B13" s="28" t="s">
        <v>92</v>
      </c>
      <c r="C13" s="46">
        <v>4063.55</v>
      </c>
    </row>
    <row r="14" spans="1:3" x14ac:dyDescent="0.25">
      <c r="A14" s="28" t="s">
        <v>93</v>
      </c>
      <c r="B14" s="28" t="s">
        <v>94</v>
      </c>
      <c r="C14" s="46">
        <v>22207.16</v>
      </c>
    </row>
    <row r="15" spans="1:3" x14ac:dyDescent="0.25">
      <c r="A15" s="28" t="s">
        <v>95</v>
      </c>
      <c r="B15" s="28" t="s">
        <v>96</v>
      </c>
      <c r="C15" s="46">
        <v>23675.11</v>
      </c>
    </row>
    <row r="16" spans="1:3" x14ac:dyDescent="0.25">
      <c r="A16" s="28" t="s">
        <v>97</v>
      </c>
      <c r="B16" s="28" t="s">
        <v>98</v>
      </c>
      <c r="C16" s="46">
        <v>24829.5</v>
      </c>
    </row>
    <row r="17" spans="1:3" x14ac:dyDescent="0.25">
      <c r="A17" s="28" t="s">
        <v>99</v>
      </c>
      <c r="B17" s="28" t="s">
        <v>100</v>
      </c>
      <c r="C17" s="46">
        <v>17565.47</v>
      </c>
    </row>
    <row r="18" spans="1:3" x14ac:dyDescent="0.25">
      <c r="A18" s="28" t="s">
        <v>101</v>
      </c>
      <c r="B18" s="28" t="s">
        <v>102</v>
      </c>
      <c r="C18" s="46">
        <v>18549.05</v>
      </c>
    </row>
    <row r="19" spans="1:3" x14ac:dyDescent="0.25">
      <c r="A19" s="28" t="s">
        <v>103</v>
      </c>
      <c r="B19" s="28" t="s">
        <v>104</v>
      </c>
      <c r="C19" s="46">
        <v>19559.3</v>
      </c>
    </row>
    <row r="20" spans="1:3" x14ac:dyDescent="0.25">
      <c r="A20" s="28" t="s">
        <v>105</v>
      </c>
      <c r="B20" s="28" t="s">
        <v>106</v>
      </c>
      <c r="C20" s="46">
        <v>11180.43</v>
      </c>
    </row>
    <row r="21" spans="1:3" x14ac:dyDescent="0.25">
      <c r="A21" s="28" t="s">
        <v>107</v>
      </c>
      <c r="B21" s="28" t="s">
        <v>108</v>
      </c>
      <c r="C21" s="46">
        <v>12203.56</v>
      </c>
    </row>
    <row r="22" spans="1:3" x14ac:dyDescent="0.25">
      <c r="A22" s="28" t="s">
        <v>109</v>
      </c>
      <c r="B22" s="28" t="s">
        <v>110</v>
      </c>
      <c r="C22" s="46">
        <v>13258.38</v>
      </c>
    </row>
    <row r="23" spans="1:3" x14ac:dyDescent="0.25">
      <c r="A23" s="28" t="s">
        <v>111</v>
      </c>
      <c r="B23" s="28" t="s">
        <v>112</v>
      </c>
      <c r="C23" s="46">
        <v>12075.21</v>
      </c>
    </row>
    <row r="24" spans="1:3" x14ac:dyDescent="0.25">
      <c r="A24" s="28" t="s">
        <v>113</v>
      </c>
      <c r="B24" s="28" t="s">
        <v>114</v>
      </c>
      <c r="C24" s="46">
        <v>13154.27</v>
      </c>
    </row>
    <row r="25" spans="1:3" x14ac:dyDescent="0.25">
      <c r="A25" s="28" t="s">
        <v>115</v>
      </c>
      <c r="B25" s="28" t="s">
        <v>116</v>
      </c>
      <c r="C25" s="46">
        <v>14265.01</v>
      </c>
    </row>
    <row r="26" spans="1:3" x14ac:dyDescent="0.25">
      <c r="A26" s="28" t="s">
        <v>117</v>
      </c>
      <c r="B26" s="28" t="s">
        <v>118</v>
      </c>
      <c r="C26" s="46">
        <v>16190.93</v>
      </c>
    </row>
    <row r="27" spans="1:3" x14ac:dyDescent="0.25">
      <c r="A27" s="28" t="s">
        <v>119</v>
      </c>
      <c r="B27" s="28" t="s">
        <v>120</v>
      </c>
      <c r="C27" s="46">
        <v>16956.97</v>
      </c>
    </row>
    <row r="28" spans="1:3" x14ac:dyDescent="0.25">
      <c r="A28" s="28" t="s">
        <v>121</v>
      </c>
      <c r="B28" s="28" t="s">
        <v>122</v>
      </c>
      <c r="C28" s="46">
        <v>17840</v>
      </c>
    </row>
    <row r="29" spans="1:3" x14ac:dyDescent="0.25">
      <c r="A29" s="28" t="s">
        <v>123</v>
      </c>
      <c r="B29" s="28" t="s">
        <v>124</v>
      </c>
      <c r="C29" s="46">
        <v>18738.490000000002</v>
      </c>
    </row>
    <row r="30" spans="1:3" x14ac:dyDescent="0.25">
      <c r="A30" s="28" t="s">
        <v>125</v>
      </c>
      <c r="B30" s="28" t="s">
        <v>126</v>
      </c>
      <c r="C30" s="46">
        <v>19361.41</v>
      </c>
    </row>
    <row r="31" spans="1:3" x14ac:dyDescent="0.25">
      <c r="A31" s="28" t="s">
        <v>127</v>
      </c>
      <c r="B31" s="28" t="s">
        <v>128</v>
      </c>
      <c r="C31" s="46">
        <v>33201.79</v>
      </c>
    </row>
    <row r="32" spans="1:3" x14ac:dyDescent="0.25">
      <c r="A32" s="28" t="s">
        <v>129</v>
      </c>
      <c r="B32" s="28" t="s">
        <v>130</v>
      </c>
      <c r="C32" s="46">
        <v>35112.410000000003</v>
      </c>
    </row>
    <row r="33" spans="1:3" x14ac:dyDescent="0.25">
      <c r="A33" s="28" t="s">
        <v>131</v>
      </c>
      <c r="B33" s="28" t="s">
        <v>132</v>
      </c>
      <c r="C33" s="46">
        <v>13982.62</v>
      </c>
    </row>
    <row r="34" spans="1:3" x14ac:dyDescent="0.25">
      <c r="A34" s="28" t="s">
        <v>133</v>
      </c>
      <c r="B34" s="28" t="s">
        <v>134</v>
      </c>
      <c r="C34" s="46">
        <v>14975.9</v>
      </c>
    </row>
    <row r="35" spans="1:3" x14ac:dyDescent="0.25">
      <c r="A35" s="28" t="s">
        <v>135</v>
      </c>
      <c r="B35" s="28" t="s">
        <v>136</v>
      </c>
      <c r="C35" s="46">
        <v>14856.53</v>
      </c>
    </row>
    <row r="36" spans="1:3" x14ac:dyDescent="0.25">
      <c r="A36" s="28" t="s">
        <v>137</v>
      </c>
      <c r="B36" s="28" t="s">
        <v>138</v>
      </c>
      <c r="C36" s="46">
        <v>19074.16</v>
      </c>
    </row>
    <row r="37" spans="1:3" x14ac:dyDescent="0.25">
      <c r="A37" s="28" t="s">
        <v>139</v>
      </c>
      <c r="B37" s="28" t="s">
        <v>140</v>
      </c>
      <c r="C37" s="46">
        <v>35120.11</v>
      </c>
    </row>
    <row r="38" spans="1:3" x14ac:dyDescent="0.25">
      <c r="A38" s="28" t="s">
        <v>141</v>
      </c>
      <c r="B38" s="28" t="s">
        <v>142</v>
      </c>
      <c r="C38" s="46">
        <v>35120.43</v>
      </c>
    </row>
    <row r="39" spans="1:3" x14ac:dyDescent="0.25">
      <c r="A39" s="28" t="s">
        <v>143</v>
      </c>
      <c r="B39" s="28" t="s">
        <v>144</v>
      </c>
      <c r="C39" s="46">
        <v>39910.01</v>
      </c>
    </row>
    <row r="40" spans="1:3" x14ac:dyDescent="0.25">
      <c r="A40" s="28" t="s">
        <v>145</v>
      </c>
      <c r="B40" s="28" t="s">
        <v>146</v>
      </c>
      <c r="C40" s="46">
        <v>2317.7800000000002</v>
      </c>
    </row>
    <row r="41" spans="1:3" x14ac:dyDescent="0.25">
      <c r="A41" s="28" t="s">
        <v>147</v>
      </c>
      <c r="B41" s="28" t="s">
        <v>148</v>
      </c>
      <c r="C41" s="46">
        <v>3351.28</v>
      </c>
    </row>
    <row r="42" spans="1:3" x14ac:dyDescent="0.25">
      <c r="A42" s="28" t="s">
        <v>149</v>
      </c>
      <c r="B42" s="28" t="s">
        <v>150</v>
      </c>
      <c r="C42" s="46">
        <v>4265.25</v>
      </c>
    </row>
    <row r="43" spans="1:3" x14ac:dyDescent="0.25">
      <c r="A43" s="28" t="s">
        <v>151</v>
      </c>
      <c r="B43" s="28" t="s">
        <v>152</v>
      </c>
      <c r="C43" s="46">
        <v>5237.87</v>
      </c>
    </row>
    <row r="44" spans="1:3" x14ac:dyDescent="0.25">
      <c r="A44" s="28" t="s">
        <v>153</v>
      </c>
      <c r="B44" s="28" t="s">
        <v>154</v>
      </c>
      <c r="C44" s="46">
        <v>6165.77</v>
      </c>
    </row>
    <row r="45" spans="1:3" x14ac:dyDescent="0.25">
      <c r="A45" s="28" t="s">
        <v>155</v>
      </c>
      <c r="B45" s="28" t="s">
        <v>156</v>
      </c>
      <c r="C45" s="46">
        <v>2480.5200000000004</v>
      </c>
    </row>
    <row r="46" spans="1:3" x14ac:dyDescent="0.25">
      <c r="A46" s="28" t="s">
        <v>157</v>
      </c>
      <c r="B46" s="28" t="s">
        <v>158</v>
      </c>
      <c r="C46" s="46">
        <v>3541.02</v>
      </c>
    </row>
    <row r="47" spans="1:3" x14ac:dyDescent="0.25">
      <c r="A47" s="28" t="s">
        <v>159</v>
      </c>
      <c r="B47" s="28" t="s">
        <v>160</v>
      </c>
      <c r="C47" s="46">
        <v>4556.83</v>
      </c>
    </row>
    <row r="48" spans="1:3" x14ac:dyDescent="0.25">
      <c r="A48" s="28" t="s">
        <v>161</v>
      </c>
      <c r="B48" s="28" t="s">
        <v>162</v>
      </c>
      <c r="C48" s="46">
        <v>5212</v>
      </c>
    </row>
    <row r="49" spans="1:3" x14ac:dyDescent="0.25">
      <c r="A49" s="28" t="s">
        <v>163</v>
      </c>
      <c r="B49" s="28" t="s">
        <v>164</v>
      </c>
      <c r="C49" s="46">
        <v>6152.57</v>
      </c>
    </row>
    <row r="50" spans="1:3" x14ac:dyDescent="0.25">
      <c r="A50" s="28" t="s">
        <v>165</v>
      </c>
      <c r="B50" s="28" t="s">
        <v>166</v>
      </c>
      <c r="C50" s="46">
        <v>5290.49</v>
      </c>
    </row>
    <row r="51" spans="1:3" x14ac:dyDescent="0.25">
      <c r="A51" s="28" t="s">
        <v>167</v>
      </c>
      <c r="B51" s="28" t="s">
        <v>168</v>
      </c>
      <c r="C51" s="46">
        <v>5809.07</v>
      </c>
    </row>
    <row r="52" spans="1:3" x14ac:dyDescent="0.25">
      <c r="A52" s="28" t="s">
        <v>169</v>
      </c>
      <c r="B52" s="28" t="s">
        <v>170</v>
      </c>
      <c r="C52" s="46">
        <v>6350.52</v>
      </c>
    </row>
    <row r="53" spans="1:3" x14ac:dyDescent="0.25">
      <c r="A53" s="28" t="s">
        <v>171</v>
      </c>
      <c r="B53" s="28" t="s">
        <v>172</v>
      </c>
      <c r="C53" s="46">
        <v>6923.54</v>
      </c>
    </row>
    <row r="54" spans="1:3" x14ac:dyDescent="0.25">
      <c r="A54" s="28" t="s">
        <v>173</v>
      </c>
      <c r="B54" s="28" t="s">
        <v>174</v>
      </c>
      <c r="C54" s="46">
        <v>6139</v>
      </c>
    </row>
    <row r="55" spans="1:3" x14ac:dyDescent="0.25">
      <c r="A55" s="28" t="s">
        <v>175</v>
      </c>
      <c r="B55" s="28" t="s">
        <v>176</v>
      </c>
      <c r="C55" s="46">
        <v>6858.15</v>
      </c>
    </row>
    <row r="56" spans="1:3" x14ac:dyDescent="0.25">
      <c r="A56" s="28" t="s">
        <v>177</v>
      </c>
      <c r="B56" s="28" t="s">
        <v>178</v>
      </c>
      <c r="C56" s="46">
        <v>7620.82</v>
      </c>
    </row>
    <row r="57" spans="1:3" x14ac:dyDescent="0.25">
      <c r="A57" s="28" t="s">
        <v>179</v>
      </c>
      <c r="B57" s="28" t="s">
        <v>180</v>
      </c>
      <c r="C57" s="46">
        <v>8560.15</v>
      </c>
    </row>
    <row r="58" spans="1:3" x14ac:dyDescent="0.25">
      <c r="A58" s="28" t="s">
        <v>181</v>
      </c>
      <c r="B58" s="28" t="s">
        <v>182</v>
      </c>
      <c r="C58" s="46">
        <v>9453.2800000000007</v>
      </c>
    </row>
    <row r="59" spans="1:3" x14ac:dyDescent="0.25">
      <c r="A59" s="28" t="s">
        <v>183</v>
      </c>
      <c r="B59" s="28" t="s">
        <v>184</v>
      </c>
      <c r="C59" s="46">
        <v>10168.5</v>
      </c>
    </row>
    <row r="60" spans="1:3" x14ac:dyDescent="0.25">
      <c r="A60" s="28" t="s">
        <v>185</v>
      </c>
      <c r="B60" s="28" t="s">
        <v>186</v>
      </c>
      <c r="C60" s="46">
        <v>1085</v>
      </c>
    </row>
    <row r="61" spans="1:3" x14ac:dyDescent="0.25">
      <c r="A61" s="28" t="s">
        <v>187</v>
      </c>
      <c r="B61" s="28" t="s">
        <v>188</v>
      </c>
      <c r="C61" s="46">
        <v>1120</v>
      </c>
    </row>
    <row r="62" spans="1:3" x14ac:dyDescent="0.25">
      <c r="A62" s="28" t="s">
        <v>189</v>
      </c>
      <c r="B62" s="28" t="s">
        <v>190</v>
      </c>
      <c r="C62" s="46">
        <v>1760</v>
      </c>
    </row>
    <row r="63" spans="1:3" x14ac:dyDescent="0.25">
      <c r="A63" s="28" t="s">
        <v>191</v>
      </c>
      <c r="B63" s="28" t="s">
        <v>192</v>
      </c>
      <c r="C63" s="46">
        <v>1280</v>
      </c>
    </row>
    <row r="64" spans="1:3" x14ac:dyDescent="0.25">
      <c r="A64" s="28" t="s">
        <v>229</v>
      </c>
      <c r="B64" s="28" t="s">
        <v>230</v>
      </c>
      <c r="C64" s="46">
        <v>6910.71</v>
      </c>
    </row>
    <row r="65" spans="1:3" x14ac:dyDescent="0.25">
      <c r="A65" s="28" t="s">
        <v>231</v>
      </c>
      <c r="B65" s="28" t="s">
        <v>232</v>
      </c>
      <c r="C65" s="46">
        <v>7165.51</v>
      </c>
    </row>
    <row r="66" spans="1:3" x14ac:dyDescent="0.25">
      <c r="A66" s="28" t="s">
        <v>233</v>
      </c>
      <c r="B66" s="28" t="s">
        <v>234</v>
      </c>
      <c r="C66" s="46">
        <v>7201.83</v>
      </c>
    </row>
    <row r="67" spans="1:3" x14ac:dyDescent="0.25">
      <c r="A67" s="28" t="s">
        <v>235</v>
      </c>
      <c r="B67" s="28" t="s">
        <v>236</v>
      </c>
      <c r="C67" s="46">
        <v>7683.8</v>
      </c>
    </row>
    <row r="68" spans="1:3" x14ac:dyDescent="0.25">
      <c r="A68" s="28" t="s">
        <v>237</v>
      </c>
      <c r="B68" s="28" t="s">
        <v>238</v>
      </c>
      <c r="C68" s="46">
        <v>6996.96</v>
      </c>
    </row>
    <row r="69" spans="1:3" x14ac:dyDescent="0.25">
      <c r="A69" s="28" t="s">
        <v>239</v>
      </c>
      <c r="B69" s="28" t="s">
        <v>240</v>
      </c>
      <c r="C69" s="46">
        <v>7251.76</v>
      </c>
    </row>
    <row r="70" spans="1:3" x14ac:dyDescent="0.25">
      <c r="A70" s="28" t="s">
        <v>241</v>
      </c>
      <c r="B70" s="28" t="s">
        <v>242</v>
      </c>
      <c r="C70" s="46">
        <v>7288.08</v>
      </c>
    </row>
    <row r="71" spans="1:3" x14ac:dyDescent="0.25">
      <c r="A71" s="28" t="s">
        <v>243</v>
      </c>
      <c r="B71" s="28" t="s">
        <v>244</v>
      </c>
      <c r="C71" s="46">
        <v>7770.05</v>
      </c>
    </row>
    <row r="72" spans="1:3" x14ac:dyDescent="0.25">
      <c r="A72" s="28" t="s">
        <v>245</v>
      </c>
      <c r="B72" s="28" t="s">
        <v>246</v>
      </c>
      <c r="C72" s="46">
        <v>9006</v>
      </c>
    </row>
    <row r="73" spans="1:3" x14ac:dyDescent="0.25">
      <c r="A73" s="28" t="s">
        <v>247</v>
      </c>
      <c r="B73" s="28" t="s">
        <v>248</v>
      </c>
      <c r="C73" s="46">
        <v>9261.76</v>
      </c>
    </row>
    <row r="74" spans="1:3" x14ac:dyDescent="0.25">
      <c r="A74" s="28" t="s">
        <v>249</v>
      </c>
      <c r="B74" s="28" t="s">
        <v>250</v>
      </c>
      <c r="C74" s="46">
        <v>9298.08</v>
      </c>
    </row>
    <row r="75" spans="1:3" x14ac:dyDescent="0.25">
      <c r="A75" s="28" t="s">
        <v>251</v>
      </c>
      <c r="B75" s="28" t="s">
        <v>252</v>
      </c>
      <c r="C75" s="46">
        <v>9790.2199999999993</v>
      </c>
    </row>
    <row r="76" spans="1:3" x14ac:dyDescent="0.25">
      <c r="A76" s="28" t="s">
        <v>253</v>
      </c>
      <c r="B76" s="28" t="s">
        <v>254</v>
      </c>
      <c r="C76" s="46">
        <v>772.84</v>
      </c>
    </row>
    <row r="77" spans="1:3" x14ac:dyDescent="0.25">
      <c r="A77" s="28" t="s">
        <v>255</v>
      </c>
      <c r="B77" s="28" t="s">
        <v>256</v>
      </c>
      <c r="C77" s="46">
        <v>477.43</v>
      </c>
    </row>
    <row r="78" spans="1:3" x14ac:dyDescent="0.25">
      <c r="A78" s="28" t="s">
        <v>257</v>
      </c>
      <c r="B78" s="28" t="s">
        <v>258</v>
      </c>
      <c r="C78" s="46">
        <v>1042.83</v>
      </c>
    </row>
    <row r="79" spans="1:3" x14ac:dyDescent="0.25">
      <c r="A79" s="28" t="s">
        <v>259</v>
      </c>
      <c r="B79" s="28" t="s">
        <v>260</v>
      </c>
      <c r="C79" s="46">
        <v>547</v>
      </c>
    </row>
    <row r="80" spans="1:3" x14ac:dyDescent="0.25">
      <c r="A80" s="28" t="s">
        <v>261</v>
      </c>
      <c r="B80" s="28" t="s">
        <v>262</v>
      </c>
      <c r="C80" s="46">
        <v>2529.87</v>
      </c>
    </row>
    <row r="81" spans="1:3" x14ac:dyDescent="0.25">
      <c r="A81" s="28" t="s">
        <v>263</v>
      </c>
      <c r="B81" s="28" t="s">
        <v>264</v>
      </c>
      <c r="C81" s="46">
        <v>2784.67</v>
      </c>
    </row>
    <row r="82" spans="1:3" x14ac:dyDescent="0.25">
      <c r="A82" s="28" t="s">
        <v>265</v>
      </c>
      <c r="B82" s="28" t="s">
        <v>266</v>
      </c>
      <c r="C82" s="46">
        <v>3039.82</v>
      </c>
    </row>
    <row r="83" spans="1:3" x14ac:dyDescent="0.25">
      <c r="A83" s="28" t="s">
        <v>267</v>
      </c>
      <c r="B83" s="28" t="s">
        <v>268</v>
      </c>
      <c r="C83" s="46">
        <v>3294.62</v>
      </c>
    </row>
    <row r="84" spans="1:3" x14ac:dyDescent="0.25">
      <c r="A84" s="28" t="s">
        <v>269</v>
      </c>
      <c r="B84" s="28" t="s">
        <v>270</v>
      </c>
      <c r="C84" s="46">
        <v>3804.57</v>
      </c>
    </row>
    <row r="85" spans="1:3" x14ac:dyDescent="0.25">
      <c r="A85" s="28" t="s">
        <v>271</v>
      </c>
      <c r="B85" s="28" t="s">
        <v>272</v>
      </c>
      <c r="C85" s="46">
        <v>2616.17</v>
      </c>
    </row>
    <row r="86" spans="1:3" x14ac:dyDescent="0.25">
      <c r="A86" s="28" t="s">
        <v>273</v>
      </c>
      <c r="B86" s="28" t="s">
        <v>274</v>
      </c>
      <c r="C86" s="46">
        <v>2870.97</v>
      </c>
    </row>
    <row r="87" spans="1:3" x14ac:dyDescent="0.25">
      <c r="A87" s="28" t="s">
        <v>275</v>
      </c>
      <c r="B87" s="28" t="s">
        <v>276</v>
      </c>
      <c r="C87" s="46">
        <v>3126.12</v>
      </c>
    </row>
    <row r="88" spans="1:3" x14ac:dyDescent="0.25">
      <c r="A88" s="28" t="s">
        <v>277</v>
      </c>
      <c r="B88" s="28" t="s">
        <v>278</v>
      </c>
      <c r="C88" s="46">
        <v>3380.92</v>
      </c>
    </row>
    <row r="89" spans="1:3" x14ac:dyDescent="0.25">
      <c r="A89" s="28" t="s">
        <v>279</v>
      </c>
      <c r="B89" s="28" t="s">
        <v>280</v>
      </c>
      <c r="C89" s="46">
        <v>2657.82</v>
      </c>
    </row>
    <row r="90" spans="1:3" x14ac:dyDescent="0.25">
      <c r="A90" s="28" t="s">
        <v>281</v>
      </c>
      <c r="B90" s="28" t="s">
        <v>282</v>
      </c>
      <c r="C90" s="46">
        <v>4962.21</v>
      </c>
    </row>
    <row r="91" spans="1:3" x14ac:dyDescent="0.25">
      <c r="A91" s="28" t="s">
        <v>283</v>
      </c>
      <c r="B91" s="28" t="s">
        <v>284</v>
      </c>
      <c r="C91" s="46">
        <v>5277.63</v>
      </c>
    </row>
    <row r="92" spans="1:3" x14ac:dyDescent="0.25">
      <c r="A92" s="28" t="s">
        <v>285</v>
      </c>
      <c r="B92" s="28" t="s">
        <v>286</v>
      </c>
      <c r="C92" s="46">
        <v>5081.92</v>
      </c>
    </row>
    <row r="93" spans="1:3" x14ac:dyDescent="0.25">
      <c r="A93" s="28" t="s">
        <v>287</v>
      </c>
      <c r="B93" s="28" t="s">
        <v>288</v>
      </c>
      <c r="C93" s="46">
        <v>5525.25</v>
      </c>
    </row>
    <row r="94" spans="1:3" x14ac:dyDescent="0.25">
      <c r="A94" s="28" t="s">
        <v>289</v>
      </c>
      <c r="B94" s="28" t="s">
        <v>290</v>
      </c>
      <c r="C94" s="46">
        <v>6933.27</v>
      </c>
    </row>
    <row r="95" spans="1:3" x14ac:dyDescent="0.25">
      <c r="A95" s="28" t="s">
        <v>291</v>
      </c>
      <c r="B95" s="28" t="s">
        <v>292</v>
      </c>
      <c r="C95" s="46">
        <v>7095.23</v>
      </c>
    </row>
    <row r="96" spans="1:3" x14ac:dyDescent="0.25">
      <c r="A96" s="28" t="s">
        <v>293</v>
      </c>
      <c r="B96" s="28" t="s">
        <v>294</v>
      </c>
      <c r="C96" s="46">
        <v>6033.01</v>
      </c>
    </row>
    <row r="97" spans="1:3" x14ac:dyDescent="0.25">
      <c r="A97" s="28" t="s">
        <v>295</v>
      </c>
      <c r="B97" s="28" t="s">
        <v>296</v>
      </c>
      <c r="C97" s="46">
        <v>6209.05</v>
      </c>
    </row>
    <row r="98" spans="1:3" x14ac:dyDescent="0.25">
      <c r="A98" s="28" t="s">
        <v>297</v>
      </c>
      <c r="B98" s="28" t="s">
        <v>298</v>
      </c>
      <c r="C98" s="46">
        <v>4157.6899999999996</v>
      </c>
    </row>
    <row r="99" spans="1:3" x14ac:dyDescent="0.25">
      <c r="A99" s="28" t="s">
        <v>299</v>
      </c>
      <c r="B99" s="28" t="s">
        <v>300</v>
      </c>
      <c r="C99" s="46">
        <v>4219.28</v>
      </c>
    </row>
    <row r="100" spans="1:3" x14ac:dyDescent="0.25">
      <c r="A100" s="28" t="s">
        <v>301</v>
      </c>
      <c r="B100" s="28" t="s">
        <v>302</v>
      </c>
      <c r="C100" s="46">
        <v>5092.83</v>
      </c>
    </row>
    <row r="101" spans="1:3" x14ac:dyDescent="0.25">
      <c r="A101" s="28" t="s">
        <v>303</v>
      </c>
      <c r="B101" s="28" t="s">
        <v>304</v>
      </c>
      <c r="C101" s="46">
        <v>4610.92</v>
      </c>
    </row>
    <row r="102" spans="1:3" x14ac:dyDescent="0.25">
      <c r="A102" s="28" t="s">
        <v>305</v>
      </c>
      <c r="B102" s="28" t="s">
        <v>306</v>
      </c>
      <c r="C102" s="46">
        <v>4255.1899999999996</v>
      </c>
    </row>
    <row r="103" spans="1:3" x14ac:dyDescent="0.25">
      <c r="A103" s="28" t="s">
        <v>307</v>
      </c>
      <c r="B103" s="28" t="s">
        <v>308</v>
      </c>
      <c r="C103" s="46">
        <v>4553.1000000000004</v>
      </c>
    </row>
    <row r="104" spans="1:3" x14ac:dyDescent="0.25">
      <c r="A104" s="28" t="s">
        <v>309</v>
      </c>
      <c r="B104" s="28" t="s">
        <v>310</v>
      </c>
      <c r="C104" s="46">
        <v>4371.4399999999996</v>
      </c>
    </row>
    <row r="105" spans="1:3" x14ac:dyDescent="0.25">
      <c r="A105" s="28" t="s">
        <v>311</v>
      </c>
      <c r="B105" s="28" t="s">
        <v>312</v>
      </c>
      <c r="C105" s="46">
        <v>4801.92</v>
      </c>
    </row>
    <row r="106" spans="1:3" x14ac:dyDescent="0.25">
      <c r="A106" s="28" t="s">
        <v>313</v>
      </c>
      <c r="B106" s="28" t="s">
        <v>314</v>
      </c>
      <c r="C106" s="46">
        <v>6353.28</v>
      </c>
    </row>
    <row r="107" spans="1:3" x14ac:dyDescent="0.25">
      <c r="A107" s="28" t="s">
        <v>315</v>
      </c>
      <c r="B107" s="28" t="s">
        <v>316</v>
      </c>
      <c r="C107" s="46">
        <v>6515.24</v>
      </c>
    </row>
    <row r="108" spans="1:3" x14ac:dyDescent="0.25">
      <c r="A108" s="28" t="s">
        <v>317</v>
      </c>
      <c r="B108" s="28" t="s">
        <v>318</v>
      </c>
      <c r="C108" s="46">
        <v>5682.93</v>
      </c>
    </row>
    <row r="109" spans="1:3" x14ac:dyDescent="0.25">
      <c r="A109" s="28" t="s">
        <v>319</v>
      </c>
      <c r="B109" s="28" t="s">
        <v>320</v>
      </c>
      <c r="C109" s="46">
        <v>5858.97</v>
      </c>
    </row>
    <row r="110" spans="1:3" x14ac:dyDescent="0.25">
      <c r="A110" s="28" t="s">
        <v>321</v>
      </c>
      <c r="B110" s="28" t="s">
        <v>322</v>
      </c>
      <c r="C110" s="46">
        <v>3130.15</v>
      </c>
    </row>
    <row r="111" spans="1:3" x14ac:dyDescent="0.25">
      <c r="A111" s="28" t="s">
        <v>323</v>
      </c>
      <c r="B111" s="28" t="s">
        <v>324</v>
      </c>
      <c r="C111" s="46">
        <v>3160.94</v>
      </c>
    </row>
    <row r="112" spans="1:3" x14ac:dyDescent="0.25">
      <c r="A112" s="28" t="s">
        <v>325</v>
      </c>
      <c r="B112" s="28" t="s">
        <v>326</v>
      </c>
      <c r="C112" s="46">
        <v>3597.72</v>
      </c>
    </row>
    <row r="113" spans="1:3" x14ac:dyDescent="0.25">
      <c r="A113" s="28" t="s">
        <v>327</v>
      </c>
      <c r="B113" s="28" t="s">
        <v>328</v>
      </c>
      <c r="C113" s="46">
        <v>4031.88</v>
      </c>
    </row>
    <row r="114" spans="1:3" x14ac:dyDescent="0.25">
      <c r="A114" s="28" t="s">
        <v>329</v>
      </c>
      <c r="B114" s="28" t="s">
        <v>330</v>
      </c>
      <c r="C114" s="46">
        <v>488.05</v>
      </c>
    </row>
    <row r="115" spans="1:3" x14ac:dyDescent="0.25">
      <c r="A115" s="28" t="s">
        <v>331</v>
      </c>
      <c r="B115" s="28" t="s">
        <v>332</v>
      </c>
      <c r="C115" s="46">
        <v>488.05</v>
      </c>
    </row>
    <row r="116" spans="1:3" x14ac:dyDescent="0.25">
      <c r="A116" s="28" t="s">
        <v>333</v>
      </c>
      <c r="B116" s="28" t="s">
        <v>334</v>
      </c>
      <c r="C116" s="46">
        <v>1057.1300000000001</v>
      </c>
    </row>
    <row r="117" spans="1:3" x14ac:dyDescent="0.25">
      <c r="A117" s="28" t="s">
        <v>335</v>
      </c>
      <c r="B117" s="28" t="s">
        <v>336</v>
      </c>
      <c r="C117" s="46">
        <v>1401.25</v>
      </c>
    </row>
    <row r="118" spans="1:3" x14ac:dyDescent="0.25">
      <c r="A118" s="28" t="s">
        <v>337</v>
      </c>
      <c r="B118" s="28" t="s">
        <v>338</v>
      </c>
      <c r="C118" s="46">
        <v>1085.45</v>
      </c>
    </row>
    <row r="119" spans="1:3" x14ac:dyDescent="0.25">
      <c r="A119" s="28" t="s">
        <v>339</v>
      </c>
      <c r="B119" s="28" t="s">
        <v>340</v>
      </c>
      <c r="C119" s="46">
        <v>7429.43</v>
      </c>
    </row>
    <row r="120" spans="1:3" x14ac:dyDescent="0.25">
      <c r="A120" s="28" t="s">
        <v>341</v>
      </c>
      <c r="B120" s="28" t="s">
        <v>342</v>
      </c>
      <c r="C120" s="46">
        <v>7759.65</v>
      </c>
    </row>
    <row r="121" spans="1:3" x14ac:dyDescent="0.25">
      <c r="A121" s="28" t="s">
        <v>343</v>
      </c>
      <c r="B121" s="28" t="s">
        <v>344</v>
      </c>
      <c r="C121" s="46">
        <v>9265.08</v>
      </c>
    </row>
    <row r="122" spans="1:3" x14ac:dyDescent="0.25">
      <c r="A122" s="28" t="s">
        <v>345</v>
      </c>
      <c r="B122" s="28" t="s">
        <v>346</v>
      </c>
      <c r="C122" s="46">
        <v>10600.05</v>
      </c>
    </row>
    <row r="123" spans="1:3" x14ac:dyDescent="0.25">
      <c r="A123" s="28" t="s">
        <v>347</v>
      </c>
      <c r="B123" s="28" t="s">
        <v>348</v>
      </c>
      <c r="C123" s="46">
        <v>8487.0300000000007</v>
      </c>
    </row>
    <row r="124" spans="1:3" x14ac:dyDescent="0.25">
      <c r="A124" s="28" t="s">
        <v>349</v>
      </c>
      <c r="B124" s="28" t="s">
        <v>350</v>
      </c>
      <c r="C124" s="46">
        <v>8884.85</v>
      </c>
    </row>
    <row r="125" spans="1:3" x14ac:dyDescent="0.25">
      <c r="A125" s="28" t="s">
        <v>351</v>
      </c>
      <c r="B125" s="28" t="s">
        <v>352</v>
      </c>
      <c r="C125" s="46">
        <v>1357.52</v>
      </c>
    </row>
    <row r="126" spans="1:3" x14ac:dyDescent="0.25">
      <c r="A126" s="28" t="s">
        <v>353</v>
      </c>
      <c r="B126" s="28" t="s">
        <v>354</v>
      </c>
      <c r="C126" s="46">
        <v>1225.8800000000001</v>
      </c>
    </row>
    <row r="127" spans="1:3" x14ac:dyDescent="0.25">
      <c r="A127" s="28" t="s">
        <v>355</v>
      </c>
      <c r="B127" s="28" t="s">
        <v>356</v>
      </c>
      <c r="C127" s="46">
        <v>1282.97</v>
      </c>
    </row>
    <row r="128" spans="1:3" x14ac:dyDescent="0.25">
      <c r="A128" s="28" t="s">
        <v>357</v>
      </c>
      <c r="B128" s="28" t="s">
        <v>358</v>
      </c>
      <c r="C128" s="46">
        <v>1238.82</v>
      </c>
    </row>
    <row r="129" spans="1:3" x14ac:dyDescent="0.25">
      <c r="A129" s="28" t="s">
        <v>359</v>
      </c>
      <c r="B129" s="28" t="s">
        <v>360</v>
      </c>
      <c r="C129" s="46">
        <v>1172.3499999999999</v>
      </c>
    </row>
    <row r="130" spans="1:3" x14ac:dyDescent="0.25">
      <c r="A130" s="28" t="s">
        <v>361</v>
      </c>
      <c r="B130" s="28" t="s">
        <v>362</v>
      </c>
      <c r="C130" s="46">
        <v>1254.8</v>
      </c>
    </row>
    <row r="131" spans="1:3" x14ac:dyDescent="0.25">
      <c r="A131" s="28" t="s">
        <v>363</v>
      </c>
      <c r="B131" s="28" t="s">
        <v>364</v>
      </c>
      <c r="C131" s="46">
        <v>1314.43</v>
      </c>
    </row>
    <row r="132" spans="1:3" x14ac:dyDescent="0.25">
      <c r="A132" s="28" t="s">
        <v>365</v>
      </c>
      <c r="B132" s="28" t="s">
        <v>366</v>
      </c>
      <c r="C132" s="46">
        <v>3394.5</v>
      </c>
    </row>
    <row r="133" spans="1:3" x14ac:dyDescent="0.25">
      <c r="A133" s="28" t="s">
        <v>367</v>
      </c>
      <c r="B133" s="28" t="s">
        <v>368</v>
      </c>
      <c r="C133" s="46">
        <v>3609.02</v>
      </c>
    </row>
    <row r="134" spans="1:3" x14ac:dyDescent="0.25">
      <c r="A134" s="28" t="s">
        <v>369</v>
      </c>
      <c r="B134" s="28" t="s">
        <v>370</v>
      </c>
      <c r="C134" s="46">
        <v>4089.93</v>
      </c>
    </row>
    <row r="135" spans="1:3" x14ac:dyDescent="0.25">
      <c r="A135" s="28" t="s">
        <v>371</v>
      </c>
      <c r="B135" s="28" t="s">
        <v>372</v>
      </c>
      <c r="C135" s="46">
        <v>4183.5600000000004</v>
      </c>
    </row>
    <row r="136" spans="1:3" x14ac:dyDescent="0.25">
      <c r="A136" s="28" t="s">
        <v>373</v>
      </c>
      <c r="B136" s="28" t="s">
        <v>374</v>
      </c>
      <c r="C136" s="46">
        <v>848.59</v>
      </c>
    </row>
    <row r="137" spans="1:3" x14ac:dyDescent="0.25">
      <c r="A137" s="28" t="s">
        <v>375</v>
      </c>
      <c r="B137" s="28" t="s">
        <v>376</v>
      </c>
      <c r="C137" s="46">
        <v>862.28</v>
      </c>
    </row>
    <row r="138" spans="1:3" x14ac:dyDescent="0.25">
      <c r="A138" s="28" t="s">
        <v>377</v>
      </c>
      <c r="B138" s="28" t="s">
        <v>378</v>
      </c>
      <c r="C138" s="46">
        <v>5483.3</v>
      </c>
    </row>
    <row r="139" spans="1:3" x14ac:dyDescent="0.25">
      <c r="A139" s="28" t="s">
        <v>379</v>
      </c>
      <c r="B139" s="28" t="s">
        <v>380</v>
      </c>
      <c r="C139" s="46">
        <v>6333.53</v>
      </c>
    </row>
    <row r="140" spans="1:3" x14ac:dyDescent="0.25">
      <c r="A140" s="28" t="s">
        <v>381</v>
      </c>
      <c r="B140" s="28" t="s">
        <v>382</v>
      </c>
      <c r="C140" s="46">
        <v>553.25</v>
      </c>
    </row>
    <row r="141" spans="1:3" x14ac:dyDescent="0.25">
      <c r="A141" s="28" t="s">
        <v>383</v>
      </c>
      <c r="B141" s="28" t="s">
        <v>384</v>
      </c>
      <c r="C141" s="46">
        <v>655.16999999999996</v>
      </c>
    </row>
    <row r="142" spans="1:3" x14ac:dyDescent="0.25">
      <c r="A142" s="28" t="s">
        <v>385</v>
      </c>
      <c r="B142" s="28" t="s">
        <v>386</v>
      </c>
      <c r="C142" s="46">
        <v>757.23</v>
      </c>
    </row>
    <row r="143" spans="1:3" x14ac:dyDescent="0.25">
      <c r="A143" s="28" t="s">
        <v>387</v>
      </c>
      <c r="B143" s="28" t="s">
        <v>388</v>
      </c>
      <c r="C143" s="46">
        <v>859.15</v>
      </c>
    </row>
    <row r="144" spans="1:3" x14ac:dyDescent="0.25">
      <c r="A144" s="28" t="s">
        <v>389</v>
      </c>
      <c r="B144" s="28" t="s">
        <v>390</v>
      </c>
      <c r="C144" s="46">
        <v>961.21</v>
      </c>
    </row>
    <row r="145" spans="1:3" x14ac:dyDescent="0.25">
      <c r="A145" s="28" t="s">
        <v>391</v>
      </c>
      <c r="B145" s="28" t="s">
        <v>392</v>
      </c>
      <c r="C145" s="46">
        <v>1063.1300000000001</v>
      </c>
    </row>
    <row r="146" spans="1:3" x14ac:dyDescent="0.25">
      <c r="A146" s="28" t="s">
        <v>393</v>
      </c>
      <c r="B146" s="28" t="s">
        <v>394</v>
      </c>
      <c r="C146" s="46">
        <v>355.65</v>
      </c>
    </row>
    <row r="147" spans="1:3" x14ac:dyDescent="0.25">
      <c r="A147" s="28" t="s">
        <v>395</v>
      </c>
      <c r="B147" s="28" t="s">
        <v>396</v>
      </c>
      <c r="C147" s="46">
        <v>358.9</v>
      </c>
    </row>
    <row r="148" spans="1:3" x14ac:dyDescent="0.25">
      <c r="A148" s="28" t="s">
        <v>397</v>
      </c>
      <c r="B148" s="28" t="s">
        <v>398</v>
      </c>
      <c r="C148" s="46">
        <v>478.56</v>
      </c>
    </row>
    <row r="149" spans="1:3" x14ac:dyDescent="0.25">
      <c r="A149" s="28" t="s">
        <v>399</v>
      </c>
      <c r="B149" s="28" t="s">
        <v>400</v>
      </c>
      <c r="C149" s="46">
        <v>484.87</v>
      </c>
    </row>
    <row r="150" spans="1:3" x14ac:dyDescent="0.25">
      <c r="A150" s="28" t="s">
        <v>401</v>
      </c>
      <c r="B150" s="28" t="s">
        <v>402</v>
      </c>
      <c r="C150" s="46">
        <v>834.4</v>
      </c>
    </row>
    <row r="151" spans="1:3" x14ac:dyDescent="0.25">
      <c r="A151" s="28" t="s">
        <v>403</v>
      </c>
      <c r="B151" s="28" t="s">
        <v>404</v>
      </c>
      <c r="C151" s="46">
        <v>874.86</v>
      </c>
    </row>
    <row r="152" spans="1:3" x14ac:dyDescent="0.25">
      <c r="A152" s="28" t="s">
        <v>405</v>
      </c>
      <c r="B152" s="28" t="s">
        <v>406</v>
      </c>
      <c r="C152" s="46">
        <v>304.52</v>
      </c>
    </row>
    <row r="153" spans="1:3" x14ac:dyDescent="0.25">
      <c r="A153" s="28" t="s">
        <v>407</v>
      </c>
      <c r="B153" s="28" t="s">
        <v>408</v>
      </c>
      <c r="C153" s="46">
        <v>328.56</v>
      </c>
    </row>
    <row r="154" spans="1:3" x14ac:dyDescent="0.25">
      <c r="A154" s="28" t="s">
        <v>409</v>
      </c>
      <c r="B154" s="28" t="s">
        <v>410</v>
      </c>
      <c r="C154" s="46">
        <v>341.43</v>
      </c>
    </row>
    <row r="155" spans="1:3" x14ac:dyDescent="0.25">
      <c r="A155" s="28" t="s">
        <v>411</v>
      </c>
      <c r="B155" s="28" t="s">
        <v>412</v>
      </c>
      <c r="C155" s="46">
        <v>125.65</v>
      </c>
    </row>
    <row r="156" spans="1:3" x14ac:dyDescent="0.25">
      <c r="A156" s="28" t="s">
        <v>413</v>
      </c>
      <c r="B156" s="28" t="s">
        <v>414</v>
      </c>
      <c r="C156" s="46">
        <v>133.99</v>
      </c>
    </row>
    <row r="157" spans="1:3" x14ac:dyDescent="0.25">
      <c r="A157" s="28" t="s">
        <v>415</v>
      </c>
      <c r="B157" s="28" t="s">
        <v>416</v>
      </c>
      <c r="C157" s="46">
        <v>133.99</v>
      </c>
    </row>
    <row r="158" spans="1:3" x14ac:dyDescent="0.25">
      <c r="A158" s="28" t="s">
        <v>417</v>
      </c>
      <c r="B158" s="28" t="s">
        <v>418</v>
      </c>
      <c r="C158" s="46">
        <v>353.96</v>
      </c>
    </row>
    <row r="159" spans="1:3" x14ac:dyDescent="0.25">
      <c r="A159" s="28" t="s">
        <v>419</v>
      </c>
      <c r="B159" s="28" t="s">
        <v>420</v>
      </c>
      <c r="C159" s="46">
        <v>378</v>
      </c>
    </row>
    <row r="160" spans="1:3" x14ac:dyDescent="0.25">
      <c r="A160" s="28" t="s">
        <v>421</v>
      </c>
      <c r="B160" s="28" t="s">
        <v>422</v>
      </c>
      <c r="C160" s="46">
        <v>390.87</v>
      </c>
    </row>
    <row r="161" spans="1:3" x14ac:dyDescent="0.25">
      <c r="A161" s="28" t="s">
        <v>423</v>
      </c>
      <c r="B161" s="28" t="s">
        <v>424</v>
      </c>
      <c r="C161" s="46">
        <v>243.34</v>
      </c>
    </row>
    <row r="162" spans="1:3" x14ac:dyDescent="0.25">
      <c r="A162" s="28" t="s">
        <v>425</v>
      </c>
      <c r="B162" s="28" t="s">
        <v>426</v>
      </c>
      <c r="C162" s="46">
        <v>209</v>
      </c>
    </row>
    <row r="163" spans="1:3" x14ac:dyDescent="0.25">
      <c r="A163" s="28" t="s">
        <v>427</v>
      </c>
      <c r="B163" s="28" t="s">
        <v>428</v>
      </c>
      <c r="C163" s="46">
        <v>246.61</v>
      </c>
    </row>
    <row r="164" spans="1:3" x14ac:dyDescent="0.25">
      <c r="A164" s="28" t="s">
        <v>429</v>
      </c>
      <c r="B164" s="28" t="s">
        <v>430</v>
      </c>
      <c r="C164" s="46">
        <v>363.24</v>
      </c>
    </row>
    <row r="165" spans="1:3" x14ac:dyDescent="0.25">
      <c r="A165" s="28" t="s">
        <v>431</v>
      </c>
      <c r="B165" s="28" t="s">
        <v>432</v>
      </c>
      <c r="C165" s="46">
        <v>278.98</v>
      </c>
    </row>
    <row r="166" spans="1:3" x14ac:dyDescent="0.25">
      <c r="A166" s="28" t="s">
        <v>433</v>
      </c>
      <c r="B166" s="28" t="s">
        <v>434</v>
      </c>
      <c r="C166" s="46">
        <v>229.35</v>
      </c>
    </row>
    <row r="167" spans="1:3" x14ac:dyDescent="0.25">
      <c r="A167" s="28" t="s">
        <v>435</v>
      </c>
      <c r="B167" s="28" t="s">
        <v>436</v>
      </c>
      <c r="C167" s="46">
        <v>420.25</v>
      </c>
    </row>
    <row r="168" spans="1:3" x14ac:dyDescent="0.25">
      <c r="A168" s="28" t="s">
        <v>437</v>
      </c>
      <c r="B168" s="28" t="s">
        <v>438</v>
      </c>
      <c r="C168" s="46">
        <v>291.23</v>
      </c>
    </row>
    <row r="169" spans="1:3" x14ac:dyDescent="0.25">
      <c r="A169" s="28" t="s">
        <v>439</v>
      </c>
      <c r="B169" s="28" t="s">
        <v>440</v>
      </c>
      <c r="C169" s="46">
        <v>581.11</v>
      </c>
    </row>
    <row r="170" spans="1:3" x14ac:dyDescent="0.25">
      <c r="A170" s="28" t="s">
        <v>441</v>
      </c>
      <c r="B170" s="28" t="s">
        <v>442</v>
      </c>
      <c r="C170" s="46">
        <v>305.36</v>
      </c>
    </row>
    <row r="171" spans="1:3" x14ac:dyDescent="0.25">
      <c r="A171" s="28" t="s">
        <v>443</v>
      </c>
      <c r="B171" s="28" t="s">
        <v>444</v>
      </c>
      <c r="C171" s="46">
        <v>416.08</v>
      </c>
    </row>
    <row r="172" spans="1:3" x14ac:dyDescent="0.25">
      <c r="A172" s="28" t="s">
        <v>445</v>
      </c>
      <c r="B172" s="28" t="s">
        <v>446</v>
      </c>
      <c r="C172" s="46">
        <v>391.96</v>
      </c>
    </row>
    <row r="173" spans="1:3" x14ac:dyDescent="0.25">
      <c r="A173" s="28" t="s">
        <v>447</v>
      </c>
      <c r="B173" s="28" t="s">
        <v>448</v>
      </c>
      <c r="C173" s="46">
        <v>244.16</v>
      </c>
    </row>
    <row r="174" spans="1:3" x14ac:dyDescent="0.25">
      <c r="A174" s="28" t="s">
        <v>449</v>
      </c>
      <c r="B174" s="28" t="s">
        <v>450</v>
      </c>
      <c r="C174" s="46">
        <v>333.7</v>
      </c>
    </row>
    <row r="175" spans="1:3" x14ac:dyDescent="0.25">
      <c r="A175" s="28" t="s">
        <v>451</v>
      </c>
      <c r="B175" s="28" t="s">
        <v>452</v>
      </c>
      <c r="C175" s="46">
        <v>377.76</v>
      </c>
    </row>
    <row r="176" spans="1:3" x14ac:dyDescent="0.25">
      <c r="A176" s="28" t="s">
        <v>453</v>
      </c>
      <c r="B176" s="28" t="s">
        <v>454</v>
      </c>
      <c r="C176" s="46">
        <v>175.03</v>
      </c>
    </row>
    <row r="177" spans="1:3" x14ac:dyDescent="0.25">
      <c r="A177" s="28" t="s">
        <v>455</v>
      </c>
      <c r="B177" s="28" t="s">
        <v>456</v>
      </c>
      <c r="C177" s="46">
        <v>112.08</v>
      </c>
    </row>
    <row r="178" spans="1:3" x14ac:dyDescent="0.25">
      <c r="A178" s="28" t="s">
        <v>457</v>
      </c>
      <c r="B178" s="28" t="s">
        <v>458</v>
      </c>
      <c r="C178" s="46">
        <v>99.43</v>
      </c>
    </row>
    <row r="179" spans="1:3" x14ac:dyDescent="0.25">
      <c r="A179" s="28" t="s">
        <v>459</v>
      </c>
      <c r="B179" s="28" t="s">
        <v>460</v>
      </c>
      <c r="C179" s="46">
        <v>131.62</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CelikKapiGrubu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2026-03-13T22:14:37Z</dcterms:modified>
</cp:coreProperties>
</file>