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book.xml" ContentType="application/vnd.openxmlformats-officedocument.spreadsheetml.template.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0" windowWidth="22260" windowHeight="12645" tabRatio="600" firstSheet="0" activeTab="0" autoFilterDateGrouping="1"/>
  </bookViews>
  <sheets>
    <sheet xmlns:r="http://schemas.openxmlformats.org/officeDocument/2006/relationships" name="1" sheetId="1" state="visible" r:id="rId1"/>
    <sheet xmlns:r="http://schemas.openxmlformats.org/officeDocument/2006/relationships" name="IcKapiGrubu" sheetId="2" state="visible" r:id="rId2"/>
  </sheets>
  <definedNames>
    <definedName name="_xlnm.Print_Area" localSheetId="0">'1'!$A$1:$M$97</definedName>
  </definedNames>
  <calcPr calcId="162913" fullCalcOnLoad="1"/>
</workbook>
</file>

<file path=xl/styles.xml><?xml version="1.0" encoding="utf-8"?>
<styleSheet xmlns="http://schemas.openxmlformats.org/spreadsheetml/2006/main">
  <numFmts count="2">
    <numFmt numFmtId="164" formatCode="_-&quot;₺&quot;* #,##0.00_-;\-&quot;₺&quot;* #,##0.00_-;_-&quot;₺&quot;* &quot;-&quot;??_-;_-@_-"/>
    <numFmt numFmtId="165" formatCode="[$-F800]dddd\,\ mmmm\ dd\,\ yyyy"/>
  </numFmts>
  <fonts count="28">
    <font>
      <name val="Calibri"/>
      <family val="2"/>
      <color theme="1"/>
      <sz val="11"/>
      <scheme val="minor"/>
    </font>
    <font>
      <name val="Calibri"/>
      <family val="2"/>
      <color theme="1"/>
      <sz val="11"/>
      <scheme val="minor"/>
    </font>
    <font>
      <name val="Times New Roman"/>
      <charset val="162"/>
      <family val="1"/>
      <color rgb="FF000066"/>
      <sz val="11"/>
    </font>
    <font>
      <name val="Times New Roman"/>
      <charset val="162"/>
      <family val="1"/>
      <color theme="1"/>
      <sz val="11"/>
    </font>
    <font>
      <name val="Times New Roman"/>
      <charset val="162"/>
      <family val="1"/>
      <i val="1"/>
      <color rgb="FF000066"/>
      <sz val="11"/>
    </font>
    <font>
      <name val="Times New Roman"/>
      <charset val="162"/>
      <family val="1"/>
      <b val="1"/>
      <color rgb="FF000066"/>
      <sz val="14"/>
    </font>
    <font>
      <name val="Times New Roman"/>
      <charset val="162"/>
      <family val="1"/>
      <color theme="1"/>
      <sz val="12"/>
    </font>
    <font>
      <name val="Times New Roman"/>
      <charset val="162"/>
      <family val="1"/>
      <color theme="1"/>
      <sz val="14"/>
    </font>
    <font>
      <name val="Times New Roman"/>
      <charset val="162"/>
      <family val="1"/>
      <b val="1"/>
      <color theme="1"/>
      <sz val="14"/>
    </font>
    <font>
      <name val="Times New Roman"/>
      <charset val="162"/>
      <family val="1"/>
      <b val="1"/>
      <color theme="0"/>
      <sz val="16"/>
    </font>
    <font>
      <name val="Times New Roman"/>
      <charset val="162"/>
      <family val="1"/>
      <color rgb="FF000066"/>
      <sz val="12"/>
    </font>
    <font>
      <name val="Times New Roman"/>
      <charset val="162"/>
      <family val="1"/>
      <sz val="12"/>
    </font>
    <font>
      <name val="Times New Roman"/>
      <charset val="162"/>
      <family val="1"/>
      <sz val="14"/>
    </font>
    <font>
      <name val="Times New Roman"/>
      <charset val="162"/>
      <family val="1"/>
      <b val="1"/>
      <i val="1"/>
      <color rgb="FF000066"/>
      <sz val="14"/>
    </font>
    <font>
      <name val="Times New Roman"/>
      <charset val="162"/>
      <family val="1"/>
      <b val="1"/>
      <color theme="1"/>
      <sz val="12"/>
    </font>
    <font>
      <name val="Times New Roman"/>
      <charset val="162"/>
      <family val="1"/>
      <b val="1"/>
      <color theme="0"/>
      <sz val="18"/>
    </font>
    <font>
      <name val="Times New Roman"/>
      <charset val="162"/>
      <family val="1"/>
      <i val="1"/>
      <color rgb="FF000066"/>
      <sz val="12"/>
    </font>
    <font>
      <name val="Times New Roman"/>
      <charset val="162"/>
      <family val="1"/>
      <i val="1"/>
      <color rgb="FF000066"/>
      <sz val="14"/>
    </font>
    <font>
      <name val="Times New Roman"/>
      <charset val="162"/>
      <family val="1"/>
      <b val="1"/>
      <color rgb="FF000066"/>
      <sz val="16"/>
    </font>
    <font>
      <name val="Times New Roman"/>
      <charset val="162"/>
      <family val="1"/>
      <color theme="1"/>
      <sz val="13"/>
    </font>
    <font>
      <name val="Times New Roman"/>
      <charset val="162"/>
      <family val="1"/>
      <color rgb="FFFF0000"/>
      <sz val="13"/>
    </font>
    <font>
      <name val="Times New Roman"/>
      <charset val="162"/>
      <family val="1"/>
      <color rgb="FF002060"/>
      <sz val="26"/>
    </font>
    <font>
      <name val="Times New Roman"/>
      <charset val="162"/>
      <family val="1"/>
      <b val="1"/>
      <i val="1"/>
      <color rgb="FF000066"/>
      <sz val="12"/>
    </font>
    <font>
      <name val="Times New Roman"/>
      <charset val="162"/>
      <family val="1"/>
      <color rgb="FF000066"/>
      <sz val="16"/>
    </font>
    <font>
      <name val="Times New Roman"/>
      <charset val="162"/>
      <family val="1"/>
      <color rgb="FF000066"/>
      <sz val="14"/>
    </font>
    <font>
      <name val="Times New Roman"/>
      <charset val="162"/>
      <family val="1"/>
      <b val="1"/>
      <i val="1"/>
      <color rgb="FF000066"/>
      <sz val="13"/>
    </font>
    <font>
      <name val="Times New Roman"/>
      <charset val="162"/>
      <family val="1"/>
      <b val="1"/>
      <color rgb="FF000066"/>
      <sz val="18"/>
    </font>
    <font>
      <name val="Times New Roman"/>
      <charset val="162"/>
      <family val="1"/>
      <color rgb="FF000066"/>
      <sz val="18"/>
    </font>
  </fonts>
  <fills count="3">
    <fill>
      <patternFill/>
    </fill>
    <fill>
      <patternFill patternType="gray125"/>
    </fill>
    <fill>
      <patternFill patternType="solid">
        <fgColor theme="8" tint="-0.499984740745262"/>
        <bgColor indexed="64"/>
      </patternFill>
    </fill>
  </fills>
  <borders count="32">
    <border>
      <left/>
      <right/>
      <top/>
      <bottom/>
      <diagonal/>
    </border>
    <border>
      <left/>
      <right style="medium">
        <color indexed="64"/>
      </right>
      <top/>
      <bottom/>
      <diagonal/>
    </border>
    <border>
      <left/>
      <right/>
      <top style="medium">
        <color indexed="64"/>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medium">
        <color indexed="64"/>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top/>
      <bottom/>
    </border>
  </borders>
  <cellStyleXfs count="2">
    <xf numFmtId="0" fontId="1" fillId="0" borderId="0"/>
    <xf numFmtId="44" fontId="1" fillId="0" borderId="0"/>
  </cellStyleXfs>
  <cellXfs count="193">
    <xf numFmtId="0" fontId="0" fillId="0" borderId="0" pivotButton="0" quotePrefix="0" xfId="0"/>
    <xf numFmtId="0" fontId="0" fillId="0" borderId="0" applyProtection="1" pivotButton="0" quotePrefix="0" xfId="0">
      <protection locked="0" hidden="0"/>
    </xf>
    <xf numFmtId="0" fontId="21" fillId="0" borderId="0" applyAlignment="1" applyProtection="1" pivotButton="0" quotePrefix="0" xfId="0">
      <alignment vertical="center" wrapText="1"/>
      <protection locked="0" hidden="0"/>
    </xf>
    <xf numFmtId="0" fontId="19" fillId="0" borderId="24" applyAlignment="1" applyProtection="1" pivotButton="0" quotePrefix="0" xfId="0">
      <alignment vertical="center"/>
      <protection locked="0" hidden="0"/>
    </xf>
    <xf numFmtId="0" fontId="19" fillId="0" borderId="12" applyAlignment="1" applyProtection="1" pivotButton="0" quotePrefix="0" xfId="0">
      <alignment vertical="center"/>
      <protection locked="0" hidden="0"/>
    </xf>
    <xf numFmtId="0" fontId="19" fillId="0" borderId="25" applyAlignment="1" applyProtection="1" pivotButton="0" quotePrefix="0" xfId="0">
      <alignment vertical="center"/>
      <protection locked="0" hidden="0"/>
    </xf>
    <xf numFmtId="0" fontId="19" fillId="0" borderId="16" applyAlignment="1" applyProtection="1" pivotButton="0" quotePrefix="0" xfId="0">
      <alignment vertical="center"/>
      <protection locked="0" hidden="0"/>
    </xf>
    <xf numFmtId="0" fontId="19" fillId="0" borderId="17" applyAlignment="1" applyProtection="1" pivotButton="0" quotePrefix="0" xfId="0">
      <alignment vertical="center"/>
      <protection locked="0" hidden="0"/>
    </xf>
    <xf numFmtId="0" fontId="3" fillId="0" borderId="0" applyProtection="1" pivotButton="0" quotePrefix="0" xfId="0">
      <protection locked="0" hidden="0"/>
    </xf>
    <xf numFmtId="0" fontId="5" fillId="0" borderId="7" applyAlignment="1" applyProtection="1" pivotButton="0" quotePrefix="0" xfId="0">
      <alignment horizontal="center" vertical="center"/>
      <protection locked="0" hidden="0"/>
    </xf>
    <xf numFmtId="0" fontId="11" fillId="0" borderId="7" applyAlignment="1" applyProtection="1" pivotButton="0" quotePrefix="0" xfId="0">
      <alignment horizontal="center" vertical="center"/>
      <protection locked="0" hidden="0"/>
    </xf>
    <xf numFmtId="0" fontId="12" fillId="0" borderId="7" applyAlignment="1" applyProtection="1" pivotButton="0" quotePrefix="0" xfId="0">
      <alignment horizontal="center" vertical="center"/>
      <protection locked="0" hidden="0"/>
    </xf>
    <xf numFmtId="0" fontId="11" fillId="0" borderId="7" applyProtection="1" pivotButton="0" quotePrefix="0" xfId="0">
      <protection locked="0" hidden="0"/>
    </xf>
    <xf numFmtId="0" fontId="11" fillId="0" borderId="7" applyAlignment="1" applyProtection="1" pivotButton="0" quotePrefix="0" xfId="0">
      <alignment horizontal="center"/>
      <protection locked="0" hidden="0"/>
    </xf>
    <xf numFmtId="0" fontId="4" fillId="0" borderId="0" applyProtection="1" pivotButton="0" quotePrefix="0" xfId="0">
      <protection locked="0" hidden="0"/>
    </xf>
    <xf numFmtId="0" fontId="13" fillId="0" borderId="0" applyAlignment="1" applyProtection="1" pivotButton="0" quotePrefix="0" xfId="0">
      <alignment horizontal="right"/>
      <protection locked="0" hidden="0"/>
    </xf>
    <xf numFmtId="164" fontId="14" fillId="0" borderId="0" applyProtection="1" pivotButton="0" quotePrefix="0" xfId="1">
      <protection locked="0" hidden="0"/>
    </xf>
    <xf numFmtId="164" fontId="8" fillId="0" borderId="0" applyProtection="1" pivotButton="0" quotePrefix="0" xfId="1">
      <protection locked="0" hidden="0"/>
    </xf>
    <xf numFmtId="0" fontId="17" fillId="0" borderId="0" applyProtection="1" pivotButton="0" quotePrefix="0" xfId="0">
      <protection locked="0" hidden="0"/>
    </xf>
    <xf numFmtId="0" fontId="13" fillId="0" borderId="7" applyAlignment="1" pivotButton="0" quotePrefix="0" xfId="0">
      <alignment horizontal="right"/>
    </xf>
    <xf numFmtId="0" fontId="12" fillId="0" borderId="7" applyAlignment="1" applyProtection="1" pivotButton="0" quotePrefix="0" xfId="0">
      <alignment horizontal="center" vertical="center"/>
      <protection locked="0" hidden="0"/>
    </xf>
    <xf numFmtId="0" fontId="0" fillId="0" borderId="0" pivotButton="0" quotePrefix="0" xfId="0"/>
    <xf numFmtId="0" fontId="5" fillId="0" borderId="4" applyAlignment="1" pivotButton="0" quotePrefix="0" xfId="0">
      <alignment horizontal="center" vertical="center"/>
    </xf>
    <xf numFmtId="0" fontId="5" fillId="0" borderId="10" applyAlignment="1" pivotButton="0" quotePrefix="0" xfId="0">
      <alignment horizontal="center" vertical="center"/>
    </xf>
    <xf numFmtId="0" fontId="5" fillId="0" borderId="7" applyAlignment="1" pivotButton="0" quotePrefix="0" xfId="0">
      <alignment horizontal="center" vertical="center"/>
    </xf>
    <xf numFmtId="0" fontId="10" fillId="0" borderId="7" applyAlignment="1" pivotButton="0" quotePrefix="0" xfId="0">
      <alignment horizontal="center" vertical="center"/>
    </xf>
    <xf numFmtId="0" fontId="10" fillId="0" borderId="0" pivotButton="0" quotePrefix="0" xfId="0"/>
    <xf numFmtId="0" fontId="4" fillId="0" borderId="0" pivotButton="0" quotePrefix="0" xfId="0"/>
    <xf numFmtId="0" fontId="0" fillId="0" borderId="0" pivotButton="0" quotePrefix="0" xfId="0"/>
    <xf numFmtId="0" fontId="10" fillId="0" borderId="4" pivotButton="0" quotePrefix="0" xfId="0"/>
    <xf numFmtId="0" fontId="10" fillId="0" borderId="5" pivotButton="0" quotePrefix="0" xfId="0"/>
    <xf numFmtId="0" fontId="13" fillId="0" borderId="0" applyAlignment="1" pivotButton="0" quotePrefix="0" xfId="0">
      <alignment horizontal="right"/>
    </xf>
    <xf numFmtId="164" fontId="12" fillId="0" borderId="7" pivotButton="0" quotePrefix="0" xfId="1"/>
    <xf numFmtId="164" fontId="7" fillId="0" borderId="7" pivotButton="0" quotePrefix="0" xfId="1"/>
    <xf numFmtId="164" fontId="8" fillId="0" borderId="7" pivotButton="0" quotePrefix="0" xfId="1"/>
    <xf numFmtId="164" fontId="6" fillId="0" borderId="7" pivotButton="0" quotePrefix="0" xfId="1"/>
    <xf numFmtId="164" fontId="12" fillId="0" borderId="7" applyAlignment="1" pivotButton="0" quotePrefix="0" xfId="1">
      <alignment horizontal="center" vertical="center"/>
    </xf>
    <xf numFmtId="0" fontId="12" fillId="0" borderId="7" applyAlignment="1" pivotButton="0" quotePrefix="0" xfId="0">
      <alignment horizontal="left" vertical="center"/>
    </xf>
    <xf numFmtId="165" fontId="5" fillId="0" borderId="10" applyAlignment="1" pivotButton="0" quotePrefix="0" xfId="0">
      <alignment horizontal="center" vertical="center"/>
    </xf>
    <xf numFmtId="0" fontId="16" fillId="0" borderId="6" applyAlignment="1" pivotButton="0" quotePrefix="0" xfId="0">
      <alignment horizontal="center"/>
    </xf>
    <xf numFmtId="0" fontId="16" fillId="0" borderId="11" applyAlignment="1" pivotButton="0" quotePrefix="0" xfId="0">
      <alignment horizontal="center"/>
    </xf>
    <xf numFmtId="0" fontId="19" fillId="0" borderId="16" applyAlignment="1" applyProtection="1" pivotButton="0" quotePrefix="0" xfId="0">
      <alignment horizontal="center" vertical="center"/>
      <protection locked="0" hidden="0"/>
    </xf>
    <xf numFmtId="0" fontId="5" fillId="0" borderId="8" applyAlignment="1" pivotButton="0" quotePrefix="0" xfId="0">
      <alignment horizontal="center" vertical="center"/>
    </xf>
    <xf numFmtId="0" fontId="5" fillId="0" borderId="0" applyAlignment="1" applyProtection="1" pivotButton="0" quotePrefix="0" xfId="0">
      <alignment horizontal="center" vertical="center"/>
      <protection locked="0" hidden="0"/>
    </xf>
    <xf numFmtId="3" fontId="11" fillId="0" borderId="7" applyAlignment="1" applyProtection="1" pivotButton="0" quotePrefix="0" xfId="0">
      <alignment horizontal="center" vertical="center"/>
      <protection locked="0" hidden="0"/>
    </xf>
    <xf numFmtId="0" fontId="21" fillId="0" borderId="0" applyAlignment="1" applyProtection="1" pivotButton="0" quotePrefix="0" xfId="0">
      <alignment horizontal="center" vertical="center" wrapText="1"/>
      <protection locked="0" hidden="0"/>
    </xf>
    <xf numFmtId="164" fontId="14" fillId="0" borderId="0" pivotButton="0" quotePrefix="0" xfId="1"/>
    <xf numFmtId="0" fontId="23" fillId="0" borderId="28" applyAlignment="1" pivotButton="0" quotePrefix="0" xfId="0">
      <alignment horizontal="center" vertical="center"/>
    </xf>
    <xf numFmtId="0" fontId="23" fillId="0" borderId="26" applyAlignment="1" pivotButton="0" quotePrefix="0" xfId="0">
      <alignment horizontal="center" vertical="center"/>
    </xf>
    <xf numFmtId="0" fontId="23" fillId="0" borderId="27" applyAlignment="1" pivotButton="0" quotePrefix="0" xfId="0">
      <alignment horizontal="center" vertical="center"/>
    </xf>
    <xf numFmtId="0" fontId="24" fillId="0" borderId="1" applyProtection="1" pivotButton="0" quotePrefix="0" xfId="0">
      <protection locked="0" hidden="0"/>
    </xf>
    <xf numFmtId="0" fontId="24" fillId="0" borderId="11" applyProtection="1" pivotButton="0" quotePrefix="0" xfId="0">
      <protection locked="0" hidden="0"/>
    </xf>
    <xf numFmtId="0" fontId="3" fillId="0" borderId="0" pivotButton="0" quotePrefix="0" xfId="0"/>
    <xf numFmtId="164" fontId="13" fillId="0" borderId="29" applyAlignment="1" pivotButton="0" quotePrefix="0" xfId="0">
      <alignment horizontal="right"/>
    </xf>
    <xf numFmtId="164" fontId="13" fillId="0" borderId="27" applyAlignment="1" pivotButton="0" quotePrefix="0" xfId="0">
      <alignment horizontal="right"/>
    </xf>
    <xf numFmtId="0" fontId="4" fillId="0" borderId="0" applyProtection="1" pivotButton="0" quotePrefix="0" xfId="0">
      <protection locked="0" hidden="0"/>
    </xf>
    <xf numFmtId="0" fontId="16" fillId="0" borderId="0" pivotButton="0" quotePrefix="0" xfId="0"/>
    <xf numFmtId="0" fontId="2" fillId="0" borderId="0" pivotButton="0" quotePrefix="0" xfId="0"/>
    <xf numFmtId="0" fontId="5" fillId="0" borderId="26" applyAlignment="1" pivotButton="0" quotePrefix="0" xfId="0">
      <alignment horizontal="center" vertical="center"/>
    </xf>
    <xf numFmtId="0" fontId="5" fillId="0" borderId="27" applyAlignment="1" pivotButton="0" quotePrefix="0" xfId="0">
      <alignment horizontal="center" vertical="center"/>
    </xf>
    <xf numFmtId="0" fontId="19" fillId="0" borderId="15" applyAlignment="1" pivotButton="0" quotePrefix="0" xfId="0">
      <alignment vertical="center"/>
    </xf>
    <xf numFmtId="0" fontId="13" fillId="0" borderId="0" applyProtection="1" pivotButton="0" quotePrefix="0" xfId="0">
      <protection locked="0" hidden="0"/>
    </xf>
    <xf numFmtId="0" fontId="16" fillId="0" borderId="1" pivotButton="0" quotePrefix="0" xfId="0"/>
    <xf numFmtId="0" fontId="16" fillId="0" borderId="11" pivotButton="0" quotePrefix="0" xfId="0"/>
    <xf numFmtId="0" fontId="16" fillId="0" borderId="5" applyAlignment="1" pivotButton="0" quotePrefix="0" xfId="0">
      <alignment horizontal="center"/>
    </xf>
    <xf numFmtId="164" fontId="0" fillId="0" borderId="0" pivotButton="0" quotePrefix="0" xfId="1"/>
    <xf numFmtId="0" fontId="9" fillId="2" borderId="0" applyAlignment="1" pivotButton="0" quotePrefix="0" xfId="0">
      <alignment horizontal="center" vertical="center"/>
    </xf>
    <xf numFmtId="0" fontId="9" fillId="2" borderId="1" applyAlignment="1" pivotButton="0" quotePrefix="0" xfId="0">
      <alignment horizontal="center" vertical="center"/>
    </xf>
    <xf numFmtId="0" fontId="21" fillId="0" borderId="0" applyAlignment="1" applyProtection="1" pivotButton="0" quotePrefix="0" xfId="0">
      <alignment horizontal="center" vertical="center" wrapText="1"/>
      <protection locked="0" hidden="0"/>
    </xf>
    <xf numFmtId="0" fontId="5" fillId="0" borderId="8" applyAlignment="1" pivotButton="0" quotePrefix="0" xfId="0">
      <alignment horizontal="center" vertical="center"/>
    </xf>
    <xf numFmtId="0" fontId="5" fillId="0" borderId="14" applyAlignment="1" pivotButton="0" quotePrefix="0" xfId="0">
      <alignment horizontal="center" vertical="center"/>
    </xf>
    <xf numFmtId="0" fontId="5" fillId="0" borderId="9" applyAlignment="1" pivotButton="0" quotePrefix="0" xfId="0">
      <alignment horizontal="center" vertical="center"/>
    </xf>
    <xf numFmtId="0" fontId="5" fillId="0" borderId="3" applyAlignment="1" applyProtection="1" pivotButton="0" quotePrefix="0" xfId="0">
      <alignment horizontal="center" vertical="center"/>
      <protection locked="0" hidden="0"/>
    </xf>
    <xf numFmtId="0" fontId="5" fillId="0" borderId="13" applyAlignment="1" applyProtection="1" pivotButton="0" quotePrefix="0" xfId="0">
      <alignment horizontal="center" vertical="center"/>
      <protection locked="0" hidden="0"/>
    </xf>
    <xf numFmtId="0" fontId="5" fillId="0" borderId="2" applyAlignment="1" applyProtection="1" pivotButton="0" quotePrefix="0" xfId="0">
      <alignment horizontal="center" vertical="center"/>
      <protection locked="0" hidden="0"/>
    </xf>
    <xf numFmtId="0" fontId="5" fillId="0" borderId="4" applyAlignment="1" applyProtection="1" pivotButton="0" quotePrefix="0" xfId="0">
      <alignment horizontal="center" vertical="center"/>
      <protection locked="0" hidden="0"/>
    </xf>
    <xf numFmtId="0" fontId="5" fillId="0" borderId="1" applyAlignment="1" applyProtection="1" pivotButton="0" quotePrefix="0" xfId="0">
      <alignment horizontal="center" vertical="center"/>
      <protection locked="0" hidden="0"/>
    </xf>
    <xf numFmtId="0" fontId="5" fillId="0" borderId="0" applyAlignment="1" applyProtection="1" pivotButton="0" quotePrefix="0" xfId="0">
      <alignment horizontal="center" vertical="center"/>
      <protection locked="0" hidden="0"/>
    </xf>
    <xf numFmtId="0" fontId="5" fillId="0" borderId="5" applyAlignment="1" applyProtection="1" pivotButton="0" quotePrefix="0" xfId="0">
      <alignment horizontal="center" vertical="center"/>
      <protection locked="0" hidden="0"/>
    </xf>
    <xf numFmtId="0" fontId="5" fillId="0" borderId="11" applyAlignment="1" applyProtection="1" pivotButton="0" quotePrefix="0" xfId="0">
      <alignment horizontal="center" vertical="center"/>
      <protection locked="0" hidden="0"/>
    </xf>
    <xf numFmtId="0" fontId="5" fillId="0" borderId="6" applyAlignment="1" applyProtection="1" pivotButton="0" quotePrefix="0" xfId="0">
      <alignment horizontal="center" vertical="center"/>
      <protection locked="0" hidden="0"/>
    </xf>
    <xf numFmtId="0" fontId="5" fillId="0" borderId="2" applyAlignment="1" pivotButton="0" quotePrefix="0" xfId="0">
      <alignment horizontal="center" vertical="center"/>
    </xf>
    <xf numFmtId="0" fontId="5" fillId="0" borderId="13" applyAlignment="1" pivotButton="0" quotePrefix="0" xfId="0">
      <alignment horizontal="center" vertical="center"/>
    </xf>
    <xf numFmtId="0" fontId="19" fillId="0" borderId="3" applyAlignment="1" applyProtection="1" pivotButton="0" quotePrefix="0" xfId="0">
      <alignment horizontal="left"/>
      <protection locked="0" hidden="0"/>
    </xf>
    <xf numFmtId="0" fontId="19" fillId="0" borderId="2" applyAlignment="1" applyProtection="1" pivotButton="0" quotePrefix="0" xfId="0">
      <alignment horizontal="left"/>
      <protection locked="0" hidden="0"/>
    </xf>
    <xf numFmtId="0" fontId="19" fillId="0" borderId="13" applyAlignment="1" applyProtection="1" pivotButton="0" quotePrefix="0" xfId="0">
      <alignment horizontal="left"/>
      <protection locked="0" hidden="0"/>
    </xf>
    <xf numFmtId="0" fontId="19" fillId="0" borderId="4" applyAlignment="1" applyProtection="1" pivotButton="0" quotePrefix="0" xfId="0">
      <alignment horizontal="left"/>
      <protection locked="0" hidden="0"/>
    </xf>
    <xf numFmtId="0" fontId="19" fillId="0" borderId="0" applyAlignment="1" applyProtection="1" pivotButton="0" quotePrefix="0" xfId="0">
      <alignment horizontal="left"/>
      <protection locked="0" hidden="0"/>
    </xf>
    <xf numFmtId="0" fontId="19" fillId="0" borderId="1" applyAlignment="1" applyProtection="1" pivotButton="0" quotePrefix="0" xfId="0">
      <alignment horizontal="left"/>
      <protection locked="0" hidden="0"/>
    </xf>
    <xf numFmtId="0" fontId="20" fillId="0" borderId="4" applyAlignment="1" applyProtection="1" pivotButton="0" quotePrefix="0" xfId="0">
      <alignment horizontal="left"/>
      <protection locked="0" hidden="0"/>
    </xf>
    <xf numFmtId="0" fontId="20" fillId="0" borderId="0" applyAlignment="1" applyProtection="1" pivotButton="0" quotePrefix="0" xfId="0">
      <alignment horizontal="left"/>
      <protection locked="0" hidden="0"/>
    </xf>
    <xf numFmtId="0" fontId="20" fillId="0" borderId="1" applyAlignment="1" applyProtection="1" pivotButton="0" quotePrefix="0" xfId="0">
      <alignment horizontal="left"/>
      <protection locked="0" hidden="0"/>
    </xf>
    <xf numFmtId="0" fontId="5" fillId="0" borderId="3" applyAlignment="1" pivotButton="0" quotePrefix="0" xfId="0">
      <alignment horizontal="center" vertical="center"/>
    </xf>
    <xf numFmtId="0" fontId="5" fillId="0" borderId="4" applyAlignment="1" pivotButton="0" quotePrefix="0" xfId="0">
      <alignment horizontal="center" vertical="center"/>
    </xf>
    <xf numFmtId="0" fontId="5" fillId="0" borderId="0" applyAlignment="1" pivotButton="0" quotePrefix="0" xfId="0">
      <alignment horizontal="center" vertical="center"/>
    </xf>
    <xf numFmtId="0" fontId="5" fillId="0" borderId="1" applyAlignment="1" pivotButton="0" quotePrefix="0" xfId="0">
      <alignment horizontal="center" vertical="center"/>
    </xf>
    <xf numFmtId="0" fontId="5" fillId="0" borderId="5" applyAlignment="1" pivotButton="0" quotePrefix="0" xfId="0">
      <alignment horizontal="center" vertical="center"/>
    </xf>
    <xf numFmtId="0" fontId="5" fillId="0" borderId="6" applyAlignment="1" pivotButton="0" quotePrefix="0" xfId="0">
      <alignment horizontal="center" vertical="center"/>
    </xf>
    <xf numFmtId="0" fontId="5" fillId="0" borderId="11" applyAlignment="1" pivotButton="0" quotePrefix="0" xfId="0">
      <alignment horizontal="center" vertical="center"/>
    </xf>
    <xf numFmtId="0" fontId="18" fillId="0" borderId="8" applyAlignment="1" pivotButton="0" quotePrefix="0" xfId="0">
      <alignment horizontal="center" vertical="center"/>
    </xf>
    <xf numFmtId="0" fontId="18" fillId="0" borderId="9" applyAlignment="1" pivotButton="0" quotePrefix="0" xfId="0">
      <alignment horizontal="center" vertical="center"/>
    </xf>
    <xf numFmtId="0" fontId="18" fillId="0" borderId="14" applyAlignment="1" pivotButton="0" quotePrefix="0" xfId="0">
      <alignment horizontal="center" vertical="center"/>
    </xf>
    <xf numFmtId="0" fontId="18" fillId="0" borderId="3" applyAlignment="1" pivotButton="0" quotePrefix="0" xfId="0">
      <alignment horizontal="center" vertical="center"/>
    </xf>
    <xf numFmtId="0" fontId="18" fillId="0" borderId="13" applyAlignment="1" pivotButton="0" quotePrefix="0" xfId="0">
      <alignment horizontal="center" vertical="center"/>
    </xf>
    <xf numFmtId="0" fontId="15" fillId="2" borderId="0" applyAlignment="1" pivotButton="0" quotePrefix="0" xfId="0">
      <alignment horizontal="center" vertical="center"/>
    </xf>
    <xf numFmtId="0" fontId="15" fillId="2" borderId="1" applyAlignment="1" pivotButton="0" quotePrefix="0" xfId="0">
      <alignment horizontal="center" vertical="center"/>
    </xf>
    <xf numFmtId="0" fontId="0" fillId="0" borderId="0" applyAlignment="1" pivotButton="0" quotePrefix="0" xfId="0">
      <alignment horizontal="center"/>
    </xf>
    <xf numFmtId="0" fontId="26" fillId="0" borderId="0" applyAlignment="1" pivotButton="0" quotePrefix="0" xfId="0">
      <alignment horizontal="left"/>
    </xf>
    <xf numFmtId="0" fontId="18" fillId="0" borderId="2" applyAlignment="1" pivotButton="0" quotePrefix="0" xfId="0">
      <alignment horizontal="center" vertical="center"/>
    </xf>
    <xf numFmtId="0" fontId="5" fillId="0" borderId="14" applyAlignment="1" applyProtection="1" pivotButton="0" quotePrefix="0" xfId="0">
      <alignment horizontal="center" vertical="center"/>
      <protection locked="0" hidden="0"/>
    </xf>
    <xf numFmtId="0" fontId="4" fillId="0" borderId="0" applyAlignment="1" pivotButton="0" quotePrefix="0" xfId="0">
      <alignment horizontal="center"/>
    </xf>
    <xf numFmtId="0" fontId="19" fillId="0" borderId="21" applyAlignment="1" pivotButton="0" quotePrefix="0" xfId="0">
      <alignment horizontal="center" vertical="center"/>
    </xf>
    <xf numFmtId="0" fontId="19" fillId="0" borderId="22" applyAlignment="1" pivotButton="0" quotePrefix="0" xfId="0">
      <alignment horizontal="center" vertical="center"/>
    </xf>
    <xf numFmtId="0" fontId="19" fillId="0" borderId="23" applyAlignment="1" pivotButton="0" quotePrefix="0" xfId="0">
      <alignment horizontal="center" vertical="center"/>
    </xf>
    <xf numFmtId="0" fontId="19" fillId="0" borderId="12" applyAlignment="1" applyProtection="1" pivotButton="0" quotePrefix="0" xfId="0">
      <alignment horizontal="left" vertical="center"/>
      <protection locked="0" hidden="0"/>
    </xf>
    <xf numFmtId="0" fontId="19" fillId="0" borderId="18" applyAlignment="1" applyProtection="1" pivotButton="0" quotePrefix="0" xfId="0">
      <alignment horizontal="left" vertical="center"/>
      <protection locked="0" hidden="0"/>
    </xf>
    <xf numFmtId="0" fontId="19" fillId="0" borderId="19" applyAlignment="1" applyProtection="1" pivotButton="0" quotePrefix="0" xfId="0">
      <alignment horizontal="left" vertical="center"/>
      <protection locked="0" hidden="0"/>
    </xf>
    <xf numFmtId="0" fontId="19" fillId="0" borderId="20" applyAlignment="1" applyProtection="1" pivotButton="0" quotePrefix="0" xfId="0">
      <alignment horizontal="left" vertical="center"/>
      <protection locked="0" hidden="0"/>
    </xf>
    <xf numFmtId="0" fontId="19" fillId="0" borderId="5" applyAlignment="1" applyProtection="1" pivotButton="0" quotePrefix="0" xfId="0">
      <alignment horizontal="left"/>
      <protection locked="0" hidden="0"/>
    </xf>
    <xf numFmtId="0" fontId="19" fillId="0" borderId="6" applyAlignment="1" applyProtection="1" pivotButton="0" quotePrefix="0" xfId="0">
      <alignment horizontal="left"/>
      <protection locked="0" hidden="0"/>
    </xf>
    <xf numFmtId="0" fontId="19" fillId="0" borderId="11" applyAlignment="1" applyProtection="1" pivotButton="0" quotePrefix="0" xfId="0">
      <alignment horizontal="left"/>
      <protection locked="0" hidden="0"/>
    </xf>
    <xf numFmtId="0" fontId="10" fillId="0" borderId="4" applyAlignment="1" pivotButton="0" quotePrefix="0" xfId="0">
      <alignment horizontal="left" vertical="center"/>
    </xf>
    <xf numFmtId="0" fontId="10" fillId="0" borderId="0" applyAlignment="1" pivotButton="0" quotePrefix="0" xfId="0">
      <alignment horizontal="left" vertical="center"/>
    </xf>
    <xf numFmtId="0" fontId="10" fillId="0" borderId="1" applyAlignment="1" pivotButton="0" quotePrefix="0" xfId="0">
      <alignment horizontal="left" vertical="center"/>
    </xf>
    <xf numFmtId="0" fontId="10" fillId="0" borderId="4" applyAlignment="1" pivotButton="0" quotePrefix="0" xfId="0">
      <alignment horizontal="center"/>
    </xf>
    <xf numFmtId="0" fontId="10" fillId="0" borderId="0" applyAlignment="1" pivotButton="0" quotePrefix="0" xfId="0">
      <alignment horizontal="center"/>
    </xf>
    <xf numFmtId="0" fontId="10" fillId="0" borderId="1" applyAlignment="1" pivotButton="0" quotePrefix="0" xfId="0">
      <alignment horizontal="center"/>
    </xf>
    <xf numFmtId="0" fontId="22" fillId="0" borderId="0" applyAlignment="1" pivotButton="0" quotePrefix="0" xfId="0">
      <alignment horizontal="left" vertical="center"/>
    </xf>
    <xf numFmtId="0" fontId="25" fillId="0" borderId="21" applyAlignment="1" pivotButton="0" quotePrefix="0" xfId="0">
      <alignment horizontal="center"/>
    </xf>
    <xf numFmtId="0" fontId="25" fillId="0" borderId="23" applyAlignment="1" pivotButton="0" quotePrefix="0" xfId="0">
      <alignment horizontal="center"/>
    </xf>
    <xf numFmtId="0" fontId="13" fillId="0" borderId="5" applyAlignment="1" pivotButton="0" quotePrefix="0" xfId="0">
      <alignment horizontal="center"/>
    </xf>
    <xf numFmtId="0" fontId="13" fillId="0" borderId="11" applyAlignment="1" pivotButton="0" quotePrefix="0" xfId="0">
      <alignment horizontal="center"/>
    </xf>
    <xf numFmtId="0" fontId="27" fillId="0" borderId="0" pivotButton="0" quotePrefix="0" xfId="0"/>
    <xf numFmtId="0" fontId="27" fillId="0" borderId="0" applyProtection="1" pivotButton="0" quotePrefix="0" xfId="0">
      <protection locked="0" hidden="0"/>
    </xf>
    <xf numFmtId="0" fontId="23" fillId="0" borderId="0" applyAlignment="1" applyProtection="1" pivotButton="0" quotePrefix="0" xfId="0">
      <alignment horizontal="left"/>
      <protection locked="0" hidden="0"/>
    </xf>
    <xf numFmtId="0" fontId="0" fillId="0" borderId="1" pivotButton="0" quotePrefix="0" xfId="0"/>
    <xf numFmtId="165" fontId="5" fillId="0" borderId="10" applyAlignment="1" pivotButton="0" quotePrefix="0" xfId="0">
      <alignment horizontal="center" vertical="center"/>
    </xf>
    <xf numFmtId="0" fontId="0" fillId="0" borderId="14" pivotButton="0" quotePrefix="0" xfId="0"/>
    <xf numFmtId="0" fontId="0" fillId="0" borderId="9" pivotButton="0" quotePrefix="0" xfId="0"/>
    <xf numFmtId="0" fontId="5" fillId="0" borderId="28" applyAlignment="1" applyProtection="1" pivotButton="0" quotePrefix="0" xfId="0">
      <alignment horizontal="center" vertical="center"/>
      <protection locked="0" hidden="0"/>
    </xf>
    <xf numFmtId="0" fontId="0" fillId="0" borderId="13" applyProtection="1" pivotButton="0" quotePrefix="0" xfId="0">
      <protection locked="0" hidden="0"/>
    </xf>
    <xf numFmtId="0" fontId="0" fillId="0" borderId="2" pivotButton="0" quotePrefix="0" xfId="0"/>
    <xf numFmtId="0" fontId="0" fillId="0" borderId="13" pivotButton="0" quotePrefix="0" xfId="0"/>
    <xf numFmtId="0" fontId="0" fillId="0" borderId="2" applyProtection="1" pivotButton="0" quotePrefix="0" xfId="0">
      <protection locked="0" hidden="0"/>
    </xf>
    <xf numFmtId="0" fontId="5" fillId="0" borderId="26" applyAlignment="1" applyProtection="1" pivotButton="0" quotePrefix="0" xfId="0">
      <alignment horizontal="center" vertical="center"/>
      <protection locked="0" hidden="0"/>
    </xf>
    <xf numFmtId="0" fontId="0" fillId="0" borderId="1" applyProtection="1" pivotButton="0" quotePrefix="0" xfId="0">
      <protection locked="0" hidden="0"/>
    </xf>
    <xf numFmtId="0" fontId="0" fillId="0" borderId="4" pivotButton="0" quotePrefix="0" xfId="0"/>
    <xf numFmtId="0" fontId="5" fillId="0" borderId="27" applyAlignment="1" applyProtection="1" pivotButton="0" quotePrefix="0" xfId="0">
      <alignment horizontal="center" vertical="center"/>
      <protection locked="0" hidden="0"/>
    </xf>
    <xf numFmtId="0" fontId="0" fillId="0" borderId="11" applyProtection="1" pivotButton="0" quotePrefix="0" xfId="0">
      <protection locked="0" hidden="0"/>
    </xf>
    <xf numFmtId="0" fontId="0" fillId="0" borderId="5" pivotButton="0" quotePrefix="0" xfId="0"/>
    <xf numFmtId="0" fontId="0" fillId="0" borderId="6" pivotButton="0" quotePrefix="0" xfId="0"/>
    <xf numFmtId="0" fontId="0" fillId="0" borderId="11" pivotButton="0" quotePrefix="0" xfId="0"/>
    <xf numFmtId="0" fontId="0" fillId="0" borderId="6" applyProtection="1" pivotButton="0" quotePrefix="0" xfId="0">
      <protection locked="0" hidden="0"/>
    </xf>
    <xf numFmtId="0" fontId="19" fillId="0" borderId="28" applyAlignment="1" applyProtection="1" pivotButton="0" quotePrefix="0" xfId="0">
      <alignment horizontal="left"/>
      <protection locked="0" hidden="0"/>
    </xf>
    <xf numFmtId="0" fontId="19" fillId="0" borderId="26" applyAlignment="1" applyProtection="1" pivotButton="0" quotePrefix="0" xfId="0">
      <alignment horizontal="left"/>
      <protection locked="0" hidden="0"/>
    </xf>
    <xf numFmtId="0" fontId="20" fillId="0" borderId="26" applyAlignment="1" applyProtection="1" pivotButton="0" quotePrefix="0" xfId="0">
      <alignment horizontal="left"/>
      <protection locked="0" hidden="0"/>
    </xf>
    <xf numFmtId="0" fontId="19" fillId="0" borderId="27" applyAlignment="1" applyProtection="1" pivotButton="0" quotePrefix="0" xfId="0">
      <alignment horizontal="left"/>
      <protection locked="0" hidden="0"/>
    </xf>
    <xf numFmtId="0" fontId="0" fillId="0" borderId="14" applyProtection="1" pivotButton="0" quotePrefix="0" xfId="0">
      <protection locked="0" hidden="0"/>
    </xf>
    <xf numFmtId="0" fontId="19" fillId="0" borderId="29" applyAlignment="1" pivotButton="0" quotePrefix="0" xfId="0">
      <alignment horizontal="center" vertical="center"/>
    </xf>
    <xf numFmtId="0" fontId="0" fillId="0" borderId="22" pivotButton="0" quotePrefix="0" xfId="0"/>
    <xf numFmtId="0" fontId="0" fillId="0" borderId="23" pivotButton="0" quotePrefix="0" xfId="0"/>
    <xf numFmtId="0" fontId="19" fillId="0" borderId="31" applyAlignment="1" pivotButton="0" quotePrefix="0" xfId="0">
      <alignment vertical="center"/>
    </xf>
    <xf numFmtId="0" fontId="19" fillId="0" borderId="31" applyAlignment="1" applyProtection="1" pivotButton="0" quotePrefix="0" xfId="0">
      <alignment horizontal="center" vertical="center"/>
      <protection locked="0" hidden="0"/>
    </xf>
    <xf numFmtId="0" fontId="19" fillId="0" borderId="31" applyAlignment="1" applyProtection="1" pivotButton="0" quotePrefix="0" xfId="0">
      <alignment horizontal="left" vertical="center"/>
      <protection locked="0" hidden="0"/>
    </xf>
    <xf numFmtId="0" fontId="0" fillId="0" borderId="31" pivotButton="0" quotePrefix="0" xfId="0"/>
    <xf numFmtId="0" fontId="19" fillId="0" borderId="31" applyAlignment="1" applyProtection="1" pivotButton="0" quotePrefix="0" xfId="0">
      <alignment vertical="center"/>
      <protection locked="0" hidden="0"/>
    </xf>
    <xf numFmtId="0" fontId="19" fillId="0" borderId="30" applyAlignment="1" applyProtection="1" pivotButton="0" quotePrefix="0" xfId="0">
      <alignment horizontal="left" vertical="center"/>
      <protection locked="0" hidden="0"/>
    </xf>
    <xf numFmtId="0" fontId="0" fillId="0" borderId="19" applyProtection="1" pivotButton="0" quotePrefix="0" xfId="0">
      <protection locked="0" hidden="0"/>
    </xf>
    <xf numFmtId="0" fontId="0" fillId="0" borderId="20" applyProtection="1" pivotButton="0" quotePrefix="0" xfId="0">
      <protection locked="0" hidden="0"/>
    </xf>
    <xf numFmtId="0" fontId="12" fillId="0" borderId="7" applyAlignment="1" pivotButton="0" quotePrefix="0" xfId="1">
      <alignment horizontal="center" vertical="center"/>
    </xf>
    <xf numFmtId="0" fontId="12" fillId="0" borderId="7" pivotButton="0" quotePrefix="0" xfId="1"/>
    <xf numFmtId="0" fontId="7" fillId="0" borderId="7" pivotButton="0" quotePrefix="0" xfId="1"/>
    <xf numFmtId="0" fontId="3" fillId="0" borderId="31" applyProtection="1" pivotButton="0" quotePrefix="0" xfId="0">
      <protection locked="0" hidden="0"/>
    </xf>
    <xf numFmtId="0" fontId="5" fillId="0" borderId="31" applyAlignment="1" applyProtection="1" pivotButton="0" quotePrefix="0" xfId="0">
      <alignment horizontal="center" vertical="center"/>
      <protection locked="0" hidden="0"/>
    </xf>
    <xf numFmtId="0" fontId="3" fillId="0" borderId="31" pivotButton="0" quotePrefix="0" xfId="0"/>
    <xf numFmtId="0" fontId="8" fillId="0" borderId="7" pivotButton="0" quotePrefix="0" xfId="1"/>
    <xf numFmtId="0" fontId="13" fillId="0" borderId="31" applyProtection="1" pivotButton="0" quotePrefix="0" xfId="0">
      <protection locked="0" hidden="0"/>
    </xf>
    <xf numFmtId="0" fontId="6" fillId="0" borderId="7" pivotButton="0" quotePrefix="0" xfId="1"/>
    <xf numFmtId="0" fontId="17" fillId="0" borderId="31" applyProtection="1" pivotButton="0" quotePrefix="0" xfId="0">
      <protection locked="0" hidden="0"/>
    </xf>
    <xf numFmtId="0" fontId="4" fillId="0" borderId="31" applyProtection="1" pivotButton="0" quotePrefix="0" xfId="0">
      <protection locked="0" hidden="0"/>
    </xf>
    <xf numFmtId="0" fontId="4" fillId="0" borderId="31" pivotButton="0" quotePrefix="0" xfId="0"/>
    <xf numFmtId="164" fontId="14" fillId="0" borderId="0" pivotButton="0" quotePrefix="0" xfId="1"/>
    <xf numFmtId="164" fontId="14" fillId="0" borderId="0" applyProtection="1" pivotButton="0" quotePrefix="0" xfId="1">
      <protection locked="0" hidden="0"/>
    </xf>
    <xf numFmtId="0" fontId="18" fillId="0" borderId="10" applyAlignment="1" pivotButton="0" quotePrefix="0" xfId="0">
      <alignment horizontal="center" vertical="center"/>
    </xf>
    <xf numFmtId="0" fontId="25" fillId="0" borderId="29" applyAlignment="1" pivotButton="0" quotePrefix="0" xfId="0">
      <alignment horizontal="center"/>
    </xf>
    <xf numFmtId="164" fontId="13" fillId="0" borderId="29" applyAlignment="1" pivotButton="0" quotePrefix="0" xfId="0">
      <alignment horizontal="right"/>
    </xf>
    <xf numFmtId="0" fontId="13" fillId="0" borderId="27" applyAlignment="1" pivotButton="0" quotePrefix="0" xfId="0">
      <alignment horizontal="center"/>
    </xf>
    <xf numFmtId="164" fontId="13" fillId="0" borderId="27" applyAlignment="1" pivotButton="0" quotePrefix="0" xfId="0">
      <alignment horizontal="right"/>
    </xf>
    <xf numFmtId="164" fontId="8" fillId="0" borderId="0" applyProtection="1" pivotButton="0" quotePrefix="0" xfId="1">
      <protection locked="0" hidden="0"/>
    </xf>
    <xf numFmtId="0" fontId="18" fillId="0" borderId="28" applyAlignment="1" pivotButton="0" quotePrefix="0" xfId="0">
      <alignment horizontal="center" vertical="center"/>
    </xf>
    <xf numFmtId="0" fontId="10" fillId="0" borderId="26" applyAlignment="1" pivotButton="0" quotePrefix="0" xfId="0">
      <alignment horizontal="center"/>
    </xf>
    <xf numFmtId="0" fontId="10" fillId="0" borderId="26" applyAlignment="1" pivotButton="0" quotePrefix="0" xfId="0">
      <alignment horizontal="left" vertical="center"/>
    </xf>
    <xf numFmtId="164" fontId="0" fillId="0" borderId="0" pivotButton="0" quotePrefix="0" xfId="1"/>
  </cellXfs>
  <cellStyles count="2">
    <cellStyle name="Normal" xfId="0" builtinId="0"/>
    <cellStyle name="ParaBirimi" xfId="1" builtinId="4"/>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styles" Target="styles.xml" Id="rId3"/><Relationship Type="http://schemas.openxmlformats.org/officeDocument/2006/relationships/theme" Target="theme/theme1.xml" Id="rId4"/></Relationships>
</file>

<file path=xl/drawings/_rels/drawing1.xml.rels><Relationships xmlns="http://schemas.openxmlformats.org/package/2006/relationships"><Relationship Type="http://schemas.openxmlformats.org/officeDocument/2006/relationships/image" Target="/xl/media/image1.png" Id="rId1"/><Relationship Type="http://schemas.openxmlformats.org/officeDocument/2006/relationships/image" Target="/xl/media/image2.png" Id="rId2"/><Relationship Type="http://schemas.openxmlformats.org/officeDocument/2006/relationships/image" Target="/xl/media/image3.png" Id="rId3"/><Relationship Type="http://schemas.openxmlformats.org/officeDocument/2006/relationships/image" Target="/xl/media/image4.png" Id="rId4"/><Relationship Type="http://schemas.openxmlformats.org/officeDocument/2006/relationships/image" Target="/xl/media/image5.png" Id="rId5"/><Relationship Type="http://schemas.openxmlformats.org/officeDocument/2006/relationships/image" Target="/xl/media/image6.png" Id="rId6"/></Relationships>
</file>

<file path=xl/drawings/drawing1.xml><?xml version="1.0" encoding="utf-8"?>
<wsDr xmlns="http://schemas.openxmlformats.org/drawingml/2006/spreadsheetDrawing">
  <twoCellAnchor editAs="oneCell">
    <from>
      <col>1</col>
      <colOff>168890</colOff>
      <row>0</row>
      <rowOff>115260</rowOff>
    </from>
    <to>
      <col>3</col>
      <colOff>693966</colOff>
      <row>9</row>
      <rowOff>58266</rowOff>
    </to>
    <pic>
      <nvPicPr>
        <cNvPr id="2" name="Resim 1"/>
        <cNvPicPr>
          <a:picLocks xmlns:a="http://schemas.openxmlformats.org/drawingml/2006/main" noChangeAspect="1"/>
        </cNvPicPr>
      </nvPicPr>
      <blipFill rotWithShape="1">
        <a:blip xmlns:a="http://schemas.openxmlformats.org/drawingml/2006/main" xmlns:r="http://schemas.openxmlformats.org/officeDocument/2006/relationships" cstate="print" r:embed="rId1"/>
        <a:srcRect xmlns:a="http://schemas.openxmlformats.org/drawingml/2006/main" l="1972" t="16371" b="28205"/>
        <a:stretch xmlns:a="http://schemas.openxmlformats.org/drawingml/2006/main">
          <a:fillRect/>
        </a:stretch>
      </blipFill>
      <spPr>
        <a:xfrm xmlns:a="http://schemas.openxmlformats.org/drawingml/2006/main">
          <a:off x="264140" y="115260"/>
          <a:ext cx="2933540" cy="1657506"/>
        </a:xfrm>
        <a:prstGeom xmlns:a="http://schemas.openxmlformats.org/drawingml/2006/main" prst="rect">
          <avLst/>
        </a:prstGeom>
        <a:ln xmlns:a="http://schemas.openxmlformats.org/drawingml/2006/main">
          <a:prstDash val="solid"/>
        </a:ln>
      </spPr>
    </pic>
    <clientData/>
  </twoCellAnchor>
  <twoCellAnchor editAs="oneCell">
    <from>
      <col>11</col>
      <colOff>304960</colOff>
      <row>0</row>
      <rowOff>155280</rowOff>
    </from>
    <to>
      <col>12</col>
      <colOff>2192203</colOff>
      <row>10</row>
      <rowOff>26631</rowOff>
    </to>
    <pic>
      <nvPicPr>
        <cNvPr id="3" name="Resim 2"/>
        <cNvPicPr>
          <a:picLocks xmlns:a="http://schemas.openxmlformats.org/drawingml/2006/main" noChangeAspect="1"/>
        </cNvPicPr>
      </nvPicPr>
      <blipFill rotWithShape="1">
        <a:blip xmlns:a="http://schemas.openxmlformats.org/drawingml/2006/main" xmlns:r="http://schemas.openxmlformats.org/officeDocument/2006/relationships" cstate="print" r:embed="rId2"/>
        <a:srcRect xmlns:a="http://schemas.openxmlformats.org/drawingml/2006/main" l="5559" t="20957" r="9571" b="18567"/>
        <a:stretch xmlns:a="http://schemas.openxmlformats.org/drawingml/2006/main">
          <a:fillRect/>
        </a:stretch>
      </blipFill>
      <spPr>
        <a:xfrm xmlns:a="http://schemas.openxmlformats.org/drawingml/2006/main">
          <a:off x="16279746" y="155280"/>
          <a:ext cx="4037171" cy="1776351"/>
        </a:xfrm>
        <a:prstGeom xmlns:a="http://schemas.openxmlformats.org/drawingml/2006/main" prst="rect">
          <avLst/>
        </a:prstGeom>
        <a:ln xmlns:a="http://schemas.openxmlformats.org/drawingml/2006/main">
          <a:prstDash val="solid"/>
        </a:ln>
      </spPr>
    </pic>
    <clientData/>
  </twoCellAnchor>
  <twoCellAnchor editAs="oneCell">
    <from>
      <col>2</col>
      <colOff>1455964</colOff>
      <row>92</row>
      <rowOff>108857</rowOff>
    </from>
    <to>
      <col>12</col>
      <colOff>40822</colOff>
      <row>96</row>
      <rowOff>93609</rowOff>
    </to>
    <pic>
      <nvPicPr>
        <cNvPr id="4" name="Resim 3"/>
        <cNvPicPr>
          <a:picLocks xmlns:a="http://schemas.openxmlformats.org/drawingml/2006/main" noChangeAspect="1"/>
        </cNvPicPr>
      </nvPicPr>
      <blipFill rotWithShape="1">
        <a:blip xmlns:a="http://schemas.openxmlformats.org/drawingml/2006/main" xmlns:r="http://schemas.openxmlformats.org/officeDocument/2006/relationships" cstate="print" r:embed="rId3"/>
        <a:srcRect xmlns:a="http://schemas.openxmlformats.org/drawingml/2006/main" t="71298"/>
        <a:stretch xmlns:a="http://schemas.openxmlformats.org/drawingml/2006/main">
          <a:fillRect/>
        </a:stretch>
      </blipFill>
      <spPr>
        <a:xfrm xmlns:a="http://schemas.openxmlformats.org/drawingml/2006/main">
          <a:off x="1918607" y="29636357"/>
          <a:ext cx="16246929" cy="1345466"/>
        </a:xfrm>
        <a:prstGeom xmlns:a="http://schemas.openxmlformats.org/drawingml/2006/main" prst="rect">
          <avLst/>
        </a:prstGeom>
        <a:ln xmlns:a="http://schemas.openxmlformats.org/drawingml/2006/main">
          <a:prstDash val="solid"/>
        </a:ln>
      </spPr>
    </pic>
    <clientData/>
  </twoCellAnchor>
  <twoCellAnchor editAs="oneCell">
    <from>
      <col>3</col>
      <colOff>1687286</colOff>
      <row>50</row>
      <rowOff>295938</rowOff>
    </from>
    <to>
      <col>11</col>
      <colOff>68036</colOff>
      <row>53</row>
      <rowOff>256894</rowOff>
    </to>
    <pic>
      <nvPicPr>
        <cNvPr id="25" name="Resim 24"/>
        <cNvPicPr>
          <a:picLocks xmlns:a="http://schemas.openxmlformats.org/drawingml/2006/main" noChangeAspect="1"/>
        </cNvPicPr>
      </nvPicPr>
      <blipFill rotWithShape="1">
        <a:blip xmlns:a="http://schemas.openxmlformats.org/drawingml/2006/main" xmlns:r="http://schemas.openxmlformats.org/officeDocument/2006/relationships" cstate="print" r:embed="rId4"/>
        <a:srcRect xmlns:a="http://schemas.openxmlformats.org/drawingml/2006/main" t="71298"/>
        <a:stretch xmlns:a="http://schemas.openxmlformats.org/drawingml/2006/main">
          <a:fillRect/>
        </a:stretch>
      </blipFill>
      <spPr>
        <a:xfrm xmlns:a="http://schemas.openxmlformats.org/drawingml/2006/main">
          <a:off x="4191000" y="14855581"/>
          <a:ext cx="11851822" cy="981492"/>
        </a:xfrm>
        <a:prstGeom xmlns:a="http://schemas.openxmlformats.org/drawingml/2006/main" prst="rect">
          <avLst/>
        </a:prstGeom>
        <a:ln xmlns:a="http://schemas.openxmlformats.org/drawingml/2006/main">
          <a:prstDash val="solid"/>
        </a:ln>
      </spPr>
    </pic>
    <clientData/>
  </twoCellAnchor>
  <twoCellAnchor editAs="oneCell">
    <from>
      <col>1</col>
      <colOff>163285</colOff>
      <row>54</row>
      <rowOff>108858</rowOff>
    </from>
    <to>
      <col>3</col>
      <colOff>688361</colOff>
      <row>59</row>
      <rowOff>65471</rowOff>
    </to>
    <pic>
      <nvPicPr>
        <cNvPr id="27" name="Resim 26"/>
        <cNvPicPr>
          <a:picLocks xmlns:a="http://schemas.openxmlformats.org/drawingml/2006/main" noChangeAspect="1"/>
        </cNvPicPr>
      </nvPicPr>
      <blipFill rotWithShape="1">
        <a:blip xmlns:a="http://schemas.openxmlformats.org/drawingml/2006/main" xmlns:r="http://schemas.openxmlformats.org/officeDocument/2006/relationships" cstate="print" r:embed="rId5"/>
        <a:srcRect xmlns:a="http://schemas.openxmlformats.org/drawingml/2006/main" l="1972" t="16371" b="28205"/>
        <a:stretch xmlns:a="http://schemas.openxmlformats.org/drawingml/2006/main">
          <a:fillRect/>
        </a:stretch>
      </blipFill>
      <spPr>
        <a:xfrm xmlns:a="http://schemas.openxmlformats.org/drawingml/2006/main">
          <a:off x="258535" y="16029215"/>
          <a:ext cx="2933540" cy="1657506"/>
        </a:xfrm>
        <a:prstGeom xmlns:a="http://schemas.openxmlformats.org/drawingml/2006/main" prst="rect">
          <avLst/>
        </a:prstGeom>
        <a:ln xmlns:a="http://schemas.openxmlformats.org/drawingml/2006/main">
          <a:prstDash val="solid"/>
        </a:ln>
      </spPr>
    </pic>
    <clientData/>
  </twoCellAnchor>
  <twoCellAnchor editAs="oneCell">
    <from>
      <col>11</col>
      <colOff>326571</colOff>
      <row>54</row>
      <rowOff>149678</rowOff>
    </from>
    <to>
      <col>12</col>
      <colOff>2213814</colOff>
      <row>59</row>
      <rowOff>225136</rowOff>
    </to>
    <pic>
      <nvPicPr>
        <cNvPr id="28" name="Resim 27"/>
        <cNvPicPr>
          <a:picLocks xmlns:a="http://schemas.openxmlformats.org/drawingml/2006/main" noChangeAspect="1"/>
        </cNvPicPr>
      </nvPicPr>
      <blipFill rotWithShape="1">
        <a:blip xmlns:a="http://schemas.openxmlformats.org/drawingml/2006/main" xmlns:r="http://schemas.openxmlformats.org/officeDocument/2006/relationships" cstate="print" r:embed="rId6"/>
        <a:srcRect xmlns:a="http://schemas.openxmlformats.org/drawingml/2006/main" l="5559" t="20957" r="9571" b="18567"/>
        <a:stretch xmlns:a="http://schemas.openxmlformats.org/drawingml/2006/main">
          <a:fillRect/>
        </a:stretch>
      </blipFill>
      <spPr>
        <a:xfrm xmlns:a="http://schemas.openxmlformats.org/drawingml/2006/main">
          <a:off x="16301357" y="16070035"/>
          <a:ext cx="4037171" cy="1776351"/>
        </a:xfrm>
        <a:prstGeom xmlns:a="http://schemas.openxmlformats.org/drawingml/2006/main" prst="rect">
          <avLst/>
        </a:prstGeom>
        <a:ln xmlns:a="http://schemas.openxmlformats.org/drawingml/2006/main">
          <a:prstDash val="solid"/>
        </a:ln>
      </spPr>
    </pic>
    <clientData/>
  </twoCellAnchor>
</wsDr>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fitToPage="1"/>
  </sheetPr>
  <dimension ref="B12:N86"/>
  <sheetViews>
    <sheetView tabSelected="1" zoomScale="70" zoomScaleNormal="70" zoomScaleSheetLayoutView="70" workbookViewId="0">
      <selection activeCell="D24" sqref="D24:M24"/>
    </sheetView>
  </sheetViews>
  <sheetFormatPr baseColWidth="8" defaultRowHeight="15"/>
  <cols>
    <col width="1.42578125" customWidth="1" style="1" min="1" max="1"/>
    <col width="5.5703125" customWidth="1" style="1" min="2" max="2"/>
    <col width="30.5703125" customWidth="1" style="1" min="3" max="3"/>
    <col width="59.85546875" customWidth="1" style="1" min="4" max="4"/>
    <col width="29.28515625" customWidth="1" style="1" min="5" max="5"/>
    <col width="23.140625" customWidth="1" style="1" min="6" max="6"/>
    <col width="17.7109375" customWidth="1" style="1" min="7" max="7"/>
    <col width="20.5703125" customWidth="1" style="1" min="8" max="10"/>
    <col width="10.140625" customWidth="1" style="1" min="11" max="11"/>
    <col width="32.140625" customWidth="1" style="1" min="12" max="12"/>
    <col width="38" customWidth="1" style="1" min="13" max="13"/>
    <col width="9.140625" customWidth="1" style="1" min="14" max="16384"/>
  </cols>
  <sheetData>
    <row r="12" ht="28.5" customHeight="1" s="28">
      <c r="C12" s="67" t="inlineStr">
        <is>
          <t>TEKLİF</t>
        </is>
      </c>
      <c r="M12" s="135" t="n"/>
    </row>
    <row r="13" ht="26.25" customHeight="1" s="28" thickBot="1">
      <c r="M13" s="57" t="n"/>
    </row>
    <row r="14" ht="26.25" customHeight="1" s="28" thickBot="1">
      <c r="L14" s="23" t="inlineStr">
        <is>
          <t>TARİH</t>
        </is>
      </c>
      <c r="M14" s="136">
        <f>TODAY()</f>
        <v/>
      </c>
    </row>
    <row r="15" ht="27" customHeight="1" s="28" thickBot="1">
      <c r="B15" s="68" t="inlineStr">
        <is>
          <t xml:space="preserve">TARAFLAR </t>
        </is>
      </c>
      <c r="C15" s="23" t="inlineStr">
        <is>
          <t>SATIŞ ŞİRKETİ</t>
        </is>
      </c>
      <c r="D15" s="137" t="n"/>
      <c r="E15" s="137" t="n"/>
      <c r="F15" s="137" t="n"/>
      <c r="G15" s="137" t="n"/>
      <c r="H15" s="137" t="n"/>
      <c r="I15" s="137" t="n"/>
      <c r="J15" s="137" t="n"/>
      <c r="K15" s="137" t="n"/>
      <c r="L15" s="137" t="n"/>
      <c r="M15" s="138" t="n"/>
    </row>
    <row r="16" ht="27" customHeight="1" s="28">
      <c r="B16" s="1" t="n"/>
      <c r="C16" s="139" t="inlineStr">
        <is>
          <t>ORTKA YAPI ELEMANLARI ÜRETİM SAN.LTD.ŞTİ</t>
        </is>
      </c>
      <c r="D16" s="140" t="n"/>
      <c r="E16" s="23" t="n"/>
      <c r="F16" s="141" t="n"/>
      <c r="G16" s="141" t="n"/>
      <c r="H16" s="141" t="n"/>
      <c r="I16" s="141" t="n"/>
      <c r="J16" s="142" t="n"/>
      <c r="K16" s="139" t="inlineStr">
        <is>
          <t>AYKA KAPI SANAYİ TİCARET ANONİM ŞİRKETİ</t>
        </is>
      </c>
      <c r="L16" s="143" t="n"/>
      <c r="M16" s="140" t="n"/>
    </row>
    <row r="17" ht="27" customHeight="1" s="28">
      <c r="B17" s="1" t="n"/>
      <c r="C17" s="144" t="inlineStr">
        <is>
          <t>VERGİ DAİRESİ : BEYDAĞI</t>
        </is>
      </c>
      <c r="D17" s="145" t="n"/>
      <c r="E17" s="146" t="n"/>
      <c r="J17" s="135" t="n"/>
      <c r="K17" s="144" t="inlineStr">
        <is>
          <t>VERGİ DAİRESİ : BEYDAĞI</t>
        </is>
      </c>
      <c r="L17" s="1" t="n"/>
      <c r="M17" s="145" t="n"/>
    </row>
    <row r="18" ht="27" customHeight="1" s="28">
      <c r="B18" s="1" t="n"/>
      <c r="C18" s="144" t="inlineStr">
        <is>
          <t>VERGİ NO: 6480365207</t>
        </is>
      </c>
      <c r="D18" s="145" t="n"/>
      <c r="E18" s="146" t="n"/>
      <c r="J18" s="135" t="n"/>
      <c r="K18" s="144" t="inlineStr">
        <is>
          <t>VERGİ NO: 1210461108</t>
        </is>
      </c>
      <c r="L18" s="1" t="n"/>
      <c r="M18" s="145" t="n"/>
    </row>
    <row r="19" ht="27" customHeight="1" s="28" thickBot="1">
      <c r="B19" s="1" t="n"/>
      <c r="C19" s="147" t="inlineStr">
        <is>
          <t>MAİL/TEL: muhasebe@aykakapi.com.tr / 444 0 932</t>
        </is>
      </c>
      <c r="D19" s="148" t="n"/>
      <c r="E19" s="149" t="n"/>
      <c r="F19" s="150" t="n"/>
      <c r="G19" s="150" t="n"/>
      <c r="H19" s="150" t="n"/>
      <c r="I19" s="150" t="n"/>
      <c r="J19" s="151" t="n"/>
      <c r="K19" s="147" t="inlineStr">
        <is>
          <t>MAİL/TEL: muhasebe@aykakapi.com.tr / 444 0 932</t>
        </is>
      </c>
      <c r="L19" s="152" t="n"/>
      <c r="M19" s="148" t="n"/>
    </row>
    <row r="20" ht="27" customHeight="1" s="28">
      <c r="B20" s="1" t="n"/>
      <c r="C20" s="109" t="n"/>
      <c r="D20" s="143" t="n"/>
      <c r="E20" s="143" t="n"/>
      <c r="F20" s="143" t="n"/>
      <c r="G20" s="143" t="n"/>
      <c r="H20" s="143" t="n"/>
      <c r="I20" s="143" t="n"/>
      <c r="J20" s="143" t="n"/>
      <c r="K20" s="143" t="n"/>
      <c r="L20" s="143" t="n"/>
      <c r="M20" s="143" t="n"/>
    </row>
    <row r="21" ht="27" customHeight="1" s="28" thickBot="1">
      <c r="B21" s="1" t="n"/>
      <c r="C21" s="152" t="n"/>
      <c r="D21" s="152" t="n"/>
      <c r="E21" s="152" t="n"/>
      <c r="F21" s="152" t="n"/>
      <c r="G21" s="152" t="n"/>
      <c r="H21" s="152" t="n"/>
      <c r="I21" s="152" t="n"/>
      <c r="J21" s="152" t="n"/>
      <c r="K21" s="152" t="n"/>
      <c r="L21" s="152" t="n"/>
      <c r="M21" s="152" t="n"/>
    </row>
    <row r="22" ht="27" customHeight="1" s="28" thickBot="1">
      <c r="B22" s="1" t="n"/>
      <c r="C22" s="23" t="inlineStr">
        <is>
          <t>ALICI BİLGİLERİ</t>
        </is>
      </c>
      <c r="D22" s="137" t="n"/>
      <c r="E22" s="137" t="n"/>
      <c r="F22" s="137" t="n"/>
      <c r="G22" s="137" t="n"/>
      <c r="H22" s="137" t="n"/>
      <c r="I22" s="137" t="n"/>
      <c r="J22" s="137" t="n"/>
      <c r="K22" s="137" t="n"/>
      <c r="L22" s="137" t="n"/>
      <c r="M22" s="138" t="n"/>
    </row>
    <row r="23" ht="27" customHeight="1" s="28" thickBot="1">
      <c r="B23" s="1" t="n"/>
      <c r="C23" s="23" t="inlineStr">
        <is>
          <t>CARİ ÜNVANI</t>
        </is>
      </c>
      <c r="D23" s="153" t="inlineStr"/>
      <c r="E23" s="143" t="n"/>
      <c r="F23" s="143" t="n"/>
      <c r="G23" s="143" t="n"/>
      <c r="H23" s="143" t="n"/>
      <c r="I23" s="143" t="n"/>
      <c r="J23" s="143" t="n"/>
      <c r="K23" s="143" t="n"/>
      <c r="L23" s="143" t="n"/>
      <c r="M23" s="140" t="n"/>
    </row>
    <row r="24" ht="27" customHeight="1" s="28" thickBot="1">
      <c r="B24" s="1" t="n"/>
      <c r="C24" s="58" t="inlineStr">
        <is>
          <t>VERGİ DAİRESİ / NO</t>
        </is>
      </c>
      <c r="D24" s="154" t="inlineStr"/>
      <c r="E24" s="1" t="n"/>
      <c r="F24" s="1" t="n"/>
      <c r="G24" s="1" t="n"/>
      <c r="H24" s="1" t="n"/>
      <c r="I24" s="1" t="n"/>
      <c r="J24" s="1" t="n"/>
      <c r="K24" s="1" t="n"/>
      <c r="L24" s="1" t="n"/>
      <c r="M24" s="145" t="n"/>
    </row>
    <row r="25" ht="27" customHeight="1" s="28" thickBot="1">
      <c r="B25" s="1" t="n"/>
      <c r="C25" s="23" t="inlineStr">
        <is>
          <t>ADRES</t>
        </is>
      </c>
      <c r="D25" s="155" t="inlineStr"/>
      <c r="E25" s="1" t="n"/>
      <c r="F25" s="1" t="n"/>
      <c r="G25" s="1" t="n"/>
      <c r="H25" s="1" t="n"/>
      <c r="I25" s="1" t="n"/>
      <c r="J25" s="1" t="n"/>
      <c r="K25" s="1" t="n"/>
      <c r="L25" s="1" t="n"/>
      <c r="M25" s="145" t="n"/>
    </row>
    <row r="26" ht="27" customHeight="1" s="28" thickBot="1">
      <c r="B26" s="1" t="n"/>
      <c r="C26" s="59" t="inlineStr">
        <is>
          <t>YETKİLİ</t>
        </is>
      </c>
      <c r="D26" s="154" t="inlineStr"/>
      <c r="E26" s="1" t="n"/>
      <c r="F26" s="1" t="n"/>
      <c r="G26" s="1" t="n"/>
      <c r="H26" s="1" t="n"/>
      <c r="I26" s="1" t="n"/>
      <c r="J26" s="1" t="n"/>
      <c r="K26" s="1" t="n"/>
      <c r="L26" s="1" t="n"/>
      <c r="M26" s="145" t="n"/>
    </row>
    <row r="27" ht="27" customHeight="1" s="28" thickBot="1">
      <c r="B27" s="1" t="n"/>
      <c r="C27" s="23" t="inlineStr">
        <is>
          <t>TELEFON/MAİL</t>
        </is>
      </c>
      <c r="D27" s="156" t="inlineStr"/>
      <c r="E27" s="152" t="n"/>
      <c r="F27" s="152" t="n"/>
      <c r="G27" s="152" t="n"/>
      <c r="H27" s="152" t="n"/>
      <c r="I27" s="152" t="n"/>
      <c r="J27" s="152" t="n"/>
      <c r="K27" s="152" t="n"/>
      <c r="L27" s="152" t="n"/>
      <c r="M27" s="148" t="n"/>
    </row>
    <row r="28" ht="27" customHeight="1" s="28" thickBot="1">
      <c r="B28" s="68" t="n"/>
      <c r="C28" s="109" t="n"/>
      <c r="D28" s="157" t="n"/>
      <c r="E28" s="157" t="n"/>
      <c r="F28" s="157" t="n"/>
      <c r="G28" s="157" t="n"/>
      <c r="H28" s="157" t="n"/>
      <c r="I28" s="157" t="n"/>
      <c r="J28" s="157" t="n"/>
      <c r="K28" s="157" t="n"/>
      <c r="L28" s="157" t="n"/>
      <c r="M28" s="157" t="n"/>
    </row>
    <row r="29" ht="27" customHeight="1" s="28" thickBot="1">
      <c r="B29" s="2" t="n"/>
      <c r="C29" s="23" t="inlineStr">
        <is>
          <t xml:space="preserve">SATIŞ TEMSİLCİSİ BİLGİ ALANI </t>
        </is>
      </c>
      <c r="D29" s="137" t="n"/>
      <c r="E29" s="137" t="n"/>
      <c r="F29" s="137" t="n"/>
      <c r="G29" s="137" t="n"/>
      <c r="H29" s="137" t="n"/>
      <c r="I29" s="137" t="n"/>
      <c r="J29" s="137" t="n"/>
      <c r="K29" s="137" t="n"/>
      <c r="L29" s="137" t="n"/>
      <c r="M29" s="138" t="n"/>
    </row>
    <row r="30" ht="27" customHeight="1" s="28" thickBot="1">
      <c r="B30" s="2" t="n"/>
      <c r="C30" s="69" t="inlineStr">
        <is>
          <t xml:space="preserve">TEKLİF NUMARASI </t>
        </is>
      </c>
      <c r="D30" s="158" t="inlineStr"/>
      <c r="E30" s="159" t="n"/>
      <c r="F30" s="159" t="n"/>
      <c r="G30" s="159" t="n"/>
      <c r="H30" s="159" t="n"/>
      <c r="I30" s="159" t="n"/>
      <c r="J30" s="159" t="n"/>
      <c r="K30" s="159" t="n"/>
      <c r="L30" s="159" t="n"/>
      <c r="M30" s="160" t="n"/>
    </row>
    <row r="31" ht="27" customHeight="1" s="28" thickBot="1">
      <c r="B31" s="2" t="n"/>
      <c r="C31" s="69" t="inlineStr">
        <is>
          <t xml:space="preserve">HAZIRLAYAN </t>
        </is>
      </c>
      <c r="D31" s="3" t="inlineStr"/>
      <c r="E31" s="4" t="inlineStr"/>
      <c r="F31" s="4" t="inlineStr"/>
      <c r="G31" s="4" t="inlineStr"/>
      <c r="H31" s="4" t="inlineStr"/>
      <c r="I31" s="4" t="inlineStr"/>
      <c r="J31" s="4" t="inlineStr"/>
      <c r="K31" s="5" t="inlineStr"/>
      <c r="L31" s="4" t="inlineStr"/>
      <c r="M31" s="5" t="inlineStr"/>
    </row>
    <row r="32" ht="27" customHeight="1" s="28" thickBot="1">
      <c r="B32" s="2" t="n"/>
      <c r="C32" s="93" t="inlineStr">
        <is>
          <t xml:space="preserve">GEÇERLİLİK TARİHİ </t>
        </is>
      </c>
      <c r="D32" s="3" t="inlineStr"/>
      <c r="E32" s="4" t="inlineStr"/>
      <c r="F32" s="4" t="inlineStr"/>
      <c r="G32" s="4" t="inlineStr"/>
      <c r="H32" s="4" t="inlineStr"/>
      <c r="I32" s="4" t="inlineStr"/>
      <c r="J32" s="4" t="inlineStr"/>
      <c r="K32" s="5" t="inlineStr"/>
      <c r="L32" s="4" t="inlineStr"/>
      <c r="M32" s="5" t="inlineStr"/>
    </row>
    <row r="33" ht="27" customHeight="1" s="28" thickBot="1">
      <c r="B33" s="2" t="n"/>
      <c r="C33" s="69" t="inlineStr">
        <is>
          <t xml:space="preserve"> F.LİSTESİ</t>
        </is>
      </c>
      <c r="D33" s="166" t="inlineStr"/>
      <c r="E33" s="167" t="n"/>
      <c r="F33" s="167" t="n"/>
      <c r="G33" s="167" t="n"/>
      <c r="H33" s="167" t="n"/>
      <c r="I33" s="167" t="n"/>
      <c r="J33" s="167" t="n"/>
      <c r="K33" s="167" t="n"/>
      <c r="L33" s="167" t="n"/>
      <c r="M33" s="168" t="n"/>
    </row>
    <row r="34" ht="27" customHeight="1" s="28">
      <c r="B34" s="2" t="n"/>
      <c r="C34" s="74" t="n"/>
      <c r="D34" s="143" t="n"/>
      <c r="E34" s="143" t="n"/>
      <c r="F34" s="143" t="n"/>
      <c r="G34" s="143" t="n"/>
      <c r="H34" s="143" t="n"/>
      <c r="I34" s="143" t="n"/>
      <c r="J34" s="143" t="n"/>
      <c r="K34" s="143" t="n"/>
      <c r="L34" s="143" t="n"/>
      <c r="M34" s="143" t="n"/>
    </row>
    <row r="35">
      <c r="C35" s="1" t="n"/>
      <c r="D35" s="1" t="n"/>
      <c r="E35" s="1" t="n"/>
      <c r="F35" s="1" t="n"/>
      <c r="G35" s="1" t="n"/>
      <c r="H35" s="1" t="n"/>
      <c r="I35" s="1" t="n"/>
      <c r="J35" s="1" t="n"/>
      <c r="K35" s="1" t="n"/>
      <c r="L35" s="1" t="n"/>
      <c r="M35" s="1" t="n"/>
    </row>
    <row r="36" ht="27" customHeight="1" s="28">
      <c r="C36" s="105" t="inlineStr">
        <is>
          <t xml:space="preserve">İÇ ODA KAPISI </t>
        </is>
      </c>
      <c r="M36" s="135" t="n"/>
    </row>
    <row r="37" ht="27" customHeight="1" s="28">
      <c r="C37" s="24" t="inlineStr">
        <is>
          <t>Kod</t>
        </is>
      </c>
      <c r="D37" s="24" t="inlineStr">
        <is>
          <t xml:space="preserve">Satış Birimi </t>
        </is>
      </c>
      <c r="E37" s="24" t="inlineStr">
        <is>
          <t xml:space="preserve">Ölçü </t>
        </is>
      </c>
      <c r="F37" s="24" t="inlineStr">
        <is>
          <t>Renk</t>
        </is>
      </c>
      <c r="G37" s="24" t="inlineStr">
        <is>
          <t>Miktar</t>
        </is>
      </c>
      <c r="H37" s="24" t="inlineStr">
        <is>
          <t xml:space="preserve">Liste Fiyatı </t>
        </is>
      </c>
      <c r="I37" s="24" t="inlineStr">
        <is>
          <t>1-İskonto %</t>
        </is>
      </c>
      <c r="J37" s="24" t="inlineStr">
        <is>
          <t>2-İskonto %</t>
        </is>
      </c>
      <c r="K37" s="24" t="inlineStr">
        <is>
          <t>Birim</t>
        </is>
      </c>
      <c r="L37" s="24" t="inlineStr">
        <is>
          <t xml:space="preserve">Birim Net Fiyatı </t>
        </is>
      </c>
      <c r="M37" s="24" t="inlineStr">
        <is>
          <t xml:space="preserve">Tutar </t>
        </is>
      </c>
    </row>
    <row r="38" ht="27" customHeight="1" s="28">
      <c r="C38" s="10" t="inlineStr"/>
      <c r="D38" s="37" t="inlineStr"/>
      <c r="E38" s="20" t="inlineStr"/>
      <c r="F38" s="10" t="inlineStr"/>
      <c r="G38" s="20" t="inlineStr"/>
      <c r="H38" s="169" t="inlineStr"/>
      <c r="I38" s="20" t="inlineStr"/>
      <c r="J38" s="20" t="inlineStr"/>
      <c r="K38" s="25" t="inlineStr"/>
      <c r="L38" s="170" t="inlineStr"/>
      <c r="M38" s="171" t="inlineStr"/>
    </row>
    <row r="39" ht="27" customHeight="1" s="28">
      <c r="C39" s="10" t="inlineStr"/>
      <c r="D39" s="37" t="inlineStr"/>
      <c r="E39" s="20" t="inlineStr"/>
      <c r="F39" s="10" t="inlineStr"/>
      <c r="G39" s="20" t="inlineStr"/>
      <c r="H39" s="169" t="inlineStr"/>
      <c r="I39" s="20" t="inlineStr"/>
      <c r="J39" s="20" t="inlineStr"/>
      <c r="K39" s="25" t="inlineStr"/>
      <c r="L39" s="170" t="inlineStr"/>
      <c r="M39" s="171" t="inlineStr"/>
    </row>
    <row r="40" ht="27" customHeight="1" s="28">
      <c r="C40" s="10" t="inlineStr"/>
      <c r="D40" s="37" t="inlineStr"/>
      <c r="E40" s="20" t="inlineStr"/>
      <c r="F40" s="10" t="inlineStr"/>
      <c r="G40" s="20" t="inlineStr"/>
      <c r="H40" s="169" t="inlineStr"/>
      <c r="I40" s="20" t="inlineStr"/>
      <c r="J40" s="20" t="inlineStr"/>
      <c r="K40" s="25" t="inlineStr"/>
      <c r="L40" s="170" t="inlineStr"/>
      <c r="M40" s="171" t="inlineStr"/>
    </row>
    <row r="41" ht="27" customHeight="1" s="28">
      <c r="C41" s="10" t="inlineStr"/>
      <c r="D41" s="37" t="inlineStr"/>
      <c r="E41" s="20" t="inlineStr"/>
      <c r="F41" s="10" t="inlineStr"/>
      <c r="G41" s="20" t="inlineStr"/>
      <c r="H41" s="169" t="inlineStr"/>
      <c r="I41" s="20" t="inlineStr"/>
      <c r="J41" s="20" t="inlineStr"/>
      <c r="K41" s="25" t="inlineStr"/>
      <c r="L41" s="170" t="inlineStr"/>
      <c r="M41" s="171" t="inlineStr"/>
    </row>
    <row r="42" ht="27" customHeight="1" s="28">
      <c r="C42" s="10" t="inlineStr"/>
      <c r="D42" s="37" t="inlineStr"/>
      <c r="E42" s="20" t="inlineStr"/>
      <c r="F42" s="10" t="inlineStr"/>
      <c r="G42" s="20" t="inlineStr"/>
      <c r="H42" s="169" t="inlineStr"/>
      <c r="I42" s="20" t="inlineStr"/>
      <c r="J42" s="20" t="inlineStr"/>
      <c r="K42" s="25" t="inlineStr"/>
      <c r="L42" s="170" t="inlineStr"/>
      <c r="M42" s="171" t="inlineStr"/>
    </row>
    <row r="43" ht="27" customHeight="1" s="28">
      <c r="C43" s="10" t="inlineStr"/>
      <c r="D43" s="37" t="inlineStr"/>
      <c r="E43" s="20" t="inlineStr"/>
      <c r="F43" s="10" t="inlineStr"/>
      <c r="G43" s="20" t="inlineStr"/>
      <c r="H43" s="169" t="inlineStr"/>
      <c r="I43" s="20" t="inlineStr"/>
      <c r="J43" s="20" t="inlineStr"/>
      <c r="K43" s="25" t="inlineStr"/>
      <c r="L43" s="170" t="inlineStr"/>
      <c r="M43" s="171" t="inlineStr"/>
    </row>
    <row r="44" ht="27" customHeight="1" s="28">
      <c r="C44" s="12" t="inlineStr"/>
      <c r="D44" s="37" t="inlineStr"/>
      <c r="E44" s="20" t="inlineStr"/>
      <c r="F44" s="13" t="inlineStr"/>
      <c r="G44" s="20" t="inlineStr"/>
      <c r="H44" s="169" t="inlineStr"/>
      <c r="I44" s="20" t="inlineStr"/>
      <c r="J44" s="20" t="inlineStr"/>
      <c r="K44" s="25" t="inlineStr"/>
      <c r="L44" s="170" t="inlineStr"/>
      <c r="M44" s="171" t="inlineStr"/>
    </row>
    <row r="45" ht="27" customHeight="1" s="28">
      <c r="C45" s="164" t="inlineStr"/>
      <c r="D45" s="172" t="inlineStr"/>
      <c r="E45" s="172" t="inlineStr"/>
      <c r="F45" s="172" t="inlineStr"/>
      <c r="G45" s="173" t="inlineStr"/>
      <c r="H45" s="173" t="inlineStr"/>
      <c r="I45" s="173" t="inlineStr"/>
      <c r="J45" s="173" t="inlineStr"/>
      <c r="K45" s="174" t="inlineStr"/>
      <c r="L45" s="19" t="inlineStr"/>
      <c r="M45" s="175" t="inlineStr"/>
    </row>
    <row r="46" ht="27" customHeight="1" s="28">
      <c r="C46" s="176" t="inlineStr"/>
      <c r="D46" s="172" t="inlineStr"/>
      <c r="E46" s="172" t="inlineStr"/>
      <c r="F46" s="172" t="inlineStr"/>
      <c r="G46" s="172" t="inlineStr"/>
      <c r="H46" s="172" t="inlineStr"/>
      <c r="I46" s="172" t="inlineStr"/>
      <c r="J46" s="172" t="inlineStr"/>
      <c r="K46" s="174" t="inlineStr"/>
      <c r="L46" s="19" t="inlineStr"/>
      <c r="M46" s="177" t="inlineStr"/>
    </row>
    <row r="47" ht="27" customHeight="1" s="28">
      <c r="C47" s="178" t="inlineStr"/>
      <c r="D47" s="179" t="inlineStr"/>
      <c r="E47" s="179" t="inlineStr"/>
      <c r="F47" s="179" t="inlineStr"/>
      <c r="G47" s="179" t="inlineStr"/>
      <c r="H47" s="179" t="inlineStr"/>
      <c r="I47" s="179" t="inlineStr"/>
      <c r="J47" s="179" t="inlineStr"/>
      <c r="K47" s="180" t="inlineStr"/>
      <c r="L47" s="19" t="inlineStr"/>
      <c r="M47" s="175" t="inlineStr"/>
    </row>
    <row r="48" ht="27" customHeight="1" s="28">
      <c r="C48" s="18" t="inlineStr">
        <is>
          <t xml:space="preserve">* Kasa 36 mm Pvc&amp;Lake </t>
        </is>
      </c>
      <c r="D48" s="55" t="n"/>
      <c r="E48" s="55" t="n"/>
      <c r="F48" s="55" t="n"/>
      <c r="G48" s="55" t="n"/>
      <c r="H48" s="55" t="n"/>
      <c r="I48" s="55" t="n"/>
      <c r="J48" s="55" t="n"/>
      <c r="K48" s="27" t="n"/>
      <c r="L48" s="31" t="n"/>
      <c r="M48" s="181" t="n"/>
    </row>
    <row r="49" ht="27" customHeight="1" s="28">
      <c r="C49" s="18" t="inlineStr">
        <is>
          <t>* Cnc Motifli Model</t>
        </is>
      </c>
      <c r="D49" s="55" t="n"/>
      <c r="E49" s="55" t="n"/>
      <c r="F49" s="55" t="n"/>
      <c r="G49" s="55" t="n"/>
      <c r="H49" s="55" t="n"/>
      <c r="I49" s="55" t="n"/>
      <c r="J49" s="55" t="n"/>
      <c r="K49" s="55" t="n"/>
      <c r="L49" s="15" t="n"/>
      <c r="M49" s="182" t="n"/>
    </row>
    <row r="50" ht="27" customHeight="1" s="28">
      <c r="C50" s="18" t="inlineStr">
        <is>
          <t xml:space="preserve">* Izgara Seren FingerJoint </t>
        </is>
      </c>
      <c r="D50" s="55" t="n"/>
      <c r="E50" s="55" t="n"/>
      <c r="F50" s="55" t="n"/>
      <c r="G50" s="55" t="n"/>
      <c r="H50" s="55" t="n"/>
      <c r="I50" s="55" t="n"/>
      <c r="J50" s="55" t="n"/>
      <c r="K50" s="55" t="n"/>
      <c r="L50" s="15" t="n"/>
      <c r="M50" s="182" t="n"/>
    </row>
    <row r="51" ht="27" customHeight="1" s="28">
      <c r="C51" s="55" t="n"/>
      <c r="D51" s="55" t="n"/>
      <c r="E51" s="55" t="n"/>
      <c r="F51" s="55" t="n"/>
      <c r="G51" s="55" t="n"/>
      <c r="H51" s="55" t="n"/>
      <c r="I51" s="55" t="n"/>
      <c r="J51" s="55" t="n"/>
      <c r="K51" s="55" t="n"/>
      <c r="L51" s="15" t="n"/>
      <c r="M51" s="182" t="n"/>
    </row>
    <row r="52" ht="27" customHeight="1" s="28">
      <c r="C52" s="110" t="n"/>
    </row>
    <row r="53" ht="27" customHeight="1" s="28"/>
    <row r="54" ht="27" customHeight="1" s="28"/>
    <row r="55" ht="27" customHeight="1" s="28">
      <c r="C55" s="27" t="n"/>
      <c r="D55" s="27" t="n"/>
      <c r="E55" s="27" t="n"/>
      <c r="F55" s="27" t="n"/>
      <c r="G55" s="27" t="n"/>
      <c r="H55" s="27" t="n"/>
      <c r="I55" s="27" t="n"/>
      <c r="J55" s="27" t="n"/>
      <c r="K55" s="27" t="n"/>
      <c r="L55" s="31" t="n"/>
      <c r="M55" s="181" t="n"/>
    </row>
    <row r="56" ht="27" customHeight="1" s="28">
      <c r="C56" s="27" t="n"/>
      <c r="D56" s="27" t="n"/>
      <c r="E56" s="27" t="n"/>
      <c r="F56" s="27" t="n"/>
      <c r="G56" s="27" t="n"/>
      <c r="H56" s="27" t="n"/>
      <c r="I56" s="27" t="n"/>
      <c r="J56" s="27" t="n"/>
      <c r="K56" s="27" t="n"/>
      <c r="L56" s="31" t="n"/>
      <c r="M56" s="181" t="n"/>
    </row>
    <row r="57" ht="27" customHeight="1" s="28">
      <c r="C57" s="27" t="n"/>
      <c r="D57" s="27" t="n"/>
      <c r="E57" s="27" t="n"/>
      <c r="F57" s="27" t="n"/>
      <c r="G57" s="27" t="n"/>
      <c r="H57" s="27" t="n"/>
      <c r="I57" s="27" t="n"/>
      <c r="J57" s="27" t="n"/>
      <c r="K57" s="27" t="n"/>
      <c r="L57" s="31" t="n"/>
      <c r="M57" s="181" t="n"/>
    </row>
    <row r="58" ht="27" customHeight="1" s="28">
      <c r="C58" s="27" t="n"/>
      <c r="D58" s="27" t="n"/>
      <c r="E58" s="27" t="n"/>
      <c r="F58" s="27" t="n"/>
      <c r="G58" s="27" t="n"/>
      <c r="H58" s="27" t="n"/>
      <c r="I58" s="27" t="n"/>
      <c r="J58" s="27" t="n"/>
      <c r="K58" s="27" t="n"/>
      <c r="L58" s="31" t="n"/>
      <c r="M58" s="181" t="n"/>
    </row>
    <row r="59" ht="27" customHeight="1" s="28">
      <c r="C59" s="27" t="n"/>
      <c r="D59" s="27" t="n"/>
      <c r="E59" s="27" t="n"/>
      <c r="F59" s="27" t="n"/>
      <c r="G59" s="27" t="n"/>
      <c r="H59" s="27" t="n"/>
      <c r="I59" s="27" t="n"/>
      <c r="J59" s="27" t="n"/>
      <c r="K59" s="27" t="n"/>
      <c r="L59" s="31" t="n"/>
      <c r="M59" s="181" t="n"/>
    </row>
    <row r="60" ht="27" customHeight="1" s="28" thickBot="1">
      <c r="C60" s="27" t="n"/>
      <c r="D60" s="27" t="n"/>
      <c r="E60" s="27" t="n"/>
      <c r="F60" s="27" t="n"/>
      <c r="G60" s="27" t="n"/>
      <c r="H60" s="27" t="n"/>
      <c r="I60" s="27" t="n"/>
      <c r="J60" s="27" t="n"/>
      <c r="K60" s="27" t="n"/>
      <c r="L60" s="31" t="n"/>
      <c r="M60" s="181" t="n"/>
    </row>
    <row r="61" ht="27" customHeight="1" s="28" thickBot="1">
      <c r="C61" s="183" t="inlineStr"/>
      <c r="D61" s="138" t="n"/>
      <c r="E61" s="55" t="n"/>
      <c r="F61" s="55" t="n"/>
      <c r="G61" s="55" t="n"/>
      <c r="H61" s="55" t="n"/>
      <c r="I61" s="55" t="n"/>
      <c r="J61" s="183" t="inlineStr">
        <is>
          <t>YEKÜN İCMAAL</t>
        </is>
      </c>
      <c r="K61" s="137" t="n"/>
      <c r="L61" s="138" t="n"/>
      <c r="M61" s="182" t="n"/>
    </row>
    <row r="62" ht="27" customHeight="1" s="28">
      <c r="C62" s="47" t="inlineStr">
        <is>
          <t>Teslim Şekli</t>
        </is>
      </c>
      <c r="D62" s="50" t="inlineStr"/>
      <c r="E62" s="55" t="n"/>
      <c r="F62" s="55" t="n"/>
      <c r="G62" s="55" t="n"/>
      <c r="H62" s="55" t="n"/>
      <c r="I62" s="55" t="n"/>
      <c r="J62" s="184" t="inlineStr">
        <is>
          <t xml:space="preserve">İÇ ODA KAPI GRUBU </t>
        </is>
      </c>
      <c r="K62" s="160" t="n"/>
      <c r="L62" s="185">
        <f>M47</f>
        <v/>
      </c>
      <c r="M62" s="182" t="n"/>
    </row>
    <row r="63" ht="27" customHeight="1" s="28" thickBot="1">
      <c r="C63" s="48" t="inlineStr">
        <is>
          <t xml:space="preserve">Ödeme Şekli </t>
        </is>
      </c>
      <c r="D63" s="50" t="inlineStr"/>
      <c r="E63" s="55" t="n"/>
      <c r="F63" s="55" t="n"/>
      <c r="G63" s="55" t="n"/>
      <c r="H63" s="55" t="n"/>
      <c r="I63" s="55" t="n"/>
      <c r="J63" s="186" t="inlineStr">
        <is>
          <t xml:space="preserve">TOPLAM YEKÜN </t>
        </is>
      </c>
      <c r="K63" s="151" t="n"/>
      <c r="L63" s="187">
        <f>L62</f>
        <v/>
      </c>
      <c r="M63" s="182" t="n"/>
    </row>
    <row r="64" ht="27" customHeight="1" s="28">
      <c r="C64" s="48" t="inlineStr">
        <is>
          <t>Teslim Süresi</t>
        </is>
      </c>
      <c r="D64" s="50" t="inlineStr"/>
      <c r="E64" s="55" t="n"/>
      <c r="F64" s="55" t="n"/>
      <c r="G64" s="55" t="n"/>
      <c r="H64" s="55" t="n"/>
      <c r="I64" s="55" t="n"/>
      <c r="J64" s="55" t="n"/>
      <c r="K64" s="55" t="n"/>
      <c r="L64" s="15" t="n"/>
      <c r="M64" s="182" t="n"/>
    </row>
    <row r="65" ht="27" customHeight="1" s="28">
      <c r="C65" s="48" t="inlineStr">
        <is>
          <t>Montaj Hizmeti</t>
        </is>
      </c>
      <c r="D65" s="50" t="inlineStr"/>
      <c r="E65" s="55" t="n"/>
      <c r="F65" s="55" t="n"/>
      <c r="G65" s="55" t="n"/>
      <c r="H65" s="55" t="n"/>
      <c r="I65" s="55" t="n"/>
      <c r="J65" s="55" t="n"/>
      <c r="K65" s="55" t="n"/>
      <c r="L65" s="15" t="n"/>
      <c r="M65" s="182" t="n"/>
    </row>
    <row r="66" ht="27" customHeight="1" s="28">
      <c r="C66" s="48" t="inlineStr">
        <is>
          <t>Nakliye</t>
        </is>
      </c>
      <c r="D66" s="50" t="inlineStr"/>
      <c r="E66" s="55" t="n"/>
      <c r="F66" s="55" t="n"/>
      <c r="G66" s="55" t="n"/>
      <c r="H66" s="55" t="n"/>
      <c r="I66" s="55" t="n"/>
      <c r="J66" s="55" t="n"/>
      <c r="K66" s="55" t="n"/>
      <c r="L66" s="15" t="n"/>
      <c r="M66" s="182" t="n"/>
    </row>
    <row r="67" ht="27" customHeight="1" s="28" thickBot="1">
      <c r="C67" s="49" t="inlineStr">
        <is>
          <t xml:space="preserve">Geçerlilik Süresi </t>
        </is>
      </c>
      <c r="D67" s="51" t="inlineStr"/>
      <c r="E67" s="55" t="n"/>
      <c r="F67" s="55" t="n"/>
      <c r="G67" s="55" t="n"/>
      <c r="H67" s="55" t="n"/>
      <c r="I67" s="55" t="n"/>
      <c r="J67" s="55" t="n"/>
      <c r="K67" s="55" t="n"/>
      <c r="L67" s="15" t="n"/>
      <c r="M67" s="182" t="n"/>
    </row>
    <row r="68" ht="27" customHeight="1" s="28">
      <c r="C68" s="55" t="n"/>
      <c r="D68" s="55" t="n"/>
      <c r="E68" s="55" t="n"/>
      <c r="F68" s="55" t="n"/>
      <c r="G68" s="55" t="n"/>
      <c r="H68" s="55" t="n"/>
      <c r="I68" s="55" t="n"/>
      <c r="J68" s="55" t="n"/>
      <c r="K68" s="55" t="n"/>
      <c r="L68" s="15" t="n"/>
      <c r="M68" s="182" t="n"/>
    </row>
    <row r="69" ht="27" customHeight="1" s="28">
      <c r="C69" s="127" t="inlineStr">
        <is>
          <t>* Bu teklif, firmamızın Mikro ERP MRP II üretim, maliyetlendirme ve stok yönetim sistemi esas alınarak hazırlanmıştır. Onaylanan siparişler sistem üzerinden üretim iş emrine dönüştürülmektedir. Teklif onayı sonrası fiyat ve teknik içerik sistem kaydı ile kesinlik kazanır.</t>
        </is>
      </c>
    </row>
    <row r="70" ht="27" customHeight="1" s="28">
      <c r="C70" s="105" t="inlineStr">
        <is>
          <t>GENEL ŞARTLAR &amp; TEKLİF NOTLARI</t>
        </is>
      </c>
      <c r="M70" s="135" t="n"/>
    </row>
    <row r="71" ht="27" customHeight="1" s="28">
      <c r="C71" s="132" t="inlineStr">
        <is>
          <t>1-Belirtilen fiyatlara KDV  hariçtir.</t>
        </is>
      </c>
      <c r="D71" s="56" t="n"/>
      <c r="E71" s="56" t="n"/>
      <c r="F71" s="26" t="n"/>
      <c r="G71" s="27" t="n"/>
      <c r="H71" s="27" t="n"/>
      <c r="I71" s="107" t="inlineStr">
        <is>
          <t xml:space="preserve">TEKLİF NOTLARI </t>
        </is>
      </c>
    </row>
    <row r="72" ht="27" customHeight="1" s="28">
      <c r="C72" s="133" t="inlineStr">
        <is>
          <t>2-İşbu teklif, düzenleme tarihinden itibaren ___ gün geçerlidir.</t>
        </is>
      </c>
      <c r="D72" s="56" t="n"/>
      <c r="E72" s="56" t="n"/>
      <c r="F72" s="26" t="n"/>
      <c r="G72" s="27" t="n"/>
      <c r="H72" s="27" t="n"/>
      <c r="I72" s="134" t="inlineStr">
        <is>
          <t>1- Ölçüler Net ölçü üzerinden değerlendirilmiştir.</t>
        </is>
      </c>
      <c r="J72" s="1" t="n"/>
      <c r="K72" s="1" t="n"/>
      <c r="L72" s="1" t="n"/>
      <c r="M72" s="1" t="n"/>
    </row>
    <row r="73" ht="27" customHeight="1" s="28">
      <c r="C73" s="132" t="inlineStr">
        <is>
          <t>3-Ürün ölçü ve model onayı müşteri tarafından teyit edilmeden üretime başlanmaz.</t>
        </is>
      </c>
      <c r="D73" s="56" t="n"/>
      <c r="E73" s="56" t="n"/>
      <c r="F73" s="26" t="n"/>
      <c r="G73" s="27" t="n"/>
      <c r="H73" s="27" t="n"/>
      <c r="I73" s="134" t="inlineStr">
        <is>
          <t xml:space="preserve">2- Üretim Öncesi Teyit alınacaktır </t>
        </is>
      </c>
      <c r="J73" s="1" t="n"/>
      <c r="K73" s="1" t="n"/>
      <c r="L73" s="1" t="n"/>
      <c r="M73" s="1" t="n"/>
    </row>
    <row r="74" ht="27" customHeight="1" s="28">
      <c r="C74" s="132" t="inlineStr">
        <is>
          <t>4-Ödeme şartları teklif üzerinde belirtilen şekilde uygulanacaktır.</t>
        </is>
      </c>
      <c r="D74" s="56" t="n"/>
      <c r="E74" s="56" t="n"/>
      <c r="F74" s="26" t="n"/>
      <c r="G74" s="27" t="n"/>
      <c r="H74" s="27" t="n"/>
      <c r="I74" s="134" t="inlineStr">
        <is>
          <t>3-</t>
        </is>
      </c>
      <c r="J74" s="1" t="n"/>
      <c r="K74" s="1" t="n"/>
      <c r="L74" s="1" t="n"/>
      <c r="M74" s="1" t="n"/>
    </row>
    <row r="75" ht="27" customHeight="1" s="28">
      <c r="C75" s="132" t="inlineStr">
        <is>
          <t>5-Montaj ve teslim süreleri (varsa) sipariş onayı ve ödeme planına göre planlanacaktır.</t>
        </is>
      </c>
      <c r="D75" s="56" t="n"/>
      <c r="E75" s="56" t="n"/>
      <c r="F75" s="26" t="n"/>
      <c r="G75" s="27" t="n"/>
      <c r="H75" s="27" t="n"/>
      <c r="I75" s="134" t="inlineStr">
        <is>
          <t>4-</t>
        </is>
      </c>
      <c r="J75" s="1" t="n"/>
      <c r="K75" s="1" t="n"/>
      <c r="L75" s="1" t="n"/>
      <c r="M75" s="1" t="n"/>
    </row>
    <row r="76" ht="27" customHeight="1" s="28">
      <c r="C76" s="26" t="n"/>
      <c r="D76" s="56" t="n"/>
      <c r="E76" s="56" t="n"/>
      <c r="F76" s="26" t="n"/>
      <c r="G76" s="27" t="n"/>
      <c r="H76" s="27" t="n"/>
      <c r="I76" s="26" t="n"/>
      <c r="J76" s="27" t="n"/>
      <c r="K76" s="27" t="n"/>
      <c r="L76" s="31" t="n"/>
      <c r="M76" s="188" t="n"/>
    </row>
    <row r="77" ht="27" customHeight="1" s="28">
      <c r="C77" s="105" t="inlineStr">
        <is>
          <t xml:space="preserve">FİRMA UNVANLARI &amp; İBANLAR </t>
        </is>
      </c>
      <c r="M77" s="135" t="n"/>
    </row>
    <row r="78" ht="27" customHeight="1" s="28" thickBot="1">
      <c r="C78" s="106" t="n"/>
    </row>
    <row r="79" ht="27" customHeight="1" s="28">
      <c r="C79" s="189" t="inlineStr">
        <is>
          <t>ORTKA YAPI ELEMANLARI ÜRETİM SAN.LTD.ŞTİ TL</t>
        </is>
      </c>
      <c r="D79" s="142" t="n"/>
      <c r="E79" s="190" t="n"/>
      <c r="J79" s="135" t="n"/>
      <c r="K79" s="189" t="inlineStr">
        <is>
          <t>AYKA KAPI SANAYİ TİCARET ANONİM ŞİRKETİ TL</t>
        </is>
      </c>
      <c r="L79" s="141" t="n"/>
      <c r="M79" s="142" t="n"/>
      <c r="N79" s="164" t="inlineStr"/>
    </row>
    <row r="80" ht="27" customHeight="1" s="28">
      <c r="C80" s="29" t="inlineStr">
        <is>
          <t>Türkiye İş Bankası</t>
        </is>
      </c>
      <c r="D80" s="62" t="inlineStr">
        <is>
          <t>TR24 0006 4000 0018 6003 9367 45</t>
        </is>
      </c>
      <c r="E80" s="146" t="n"/>
      <c r="J80" s="135" t="n"/>
      <c r="K80" s="29" t="inlineStr">
        <is>
          <t>Garanti BBVA Bankası</t>
        </is>
      </c>
      <c r="M80" s="62" t="inlineStr">
        <is>
          <t>TR14 0006 2000 1120 0006 2913 29</t>
        </is>
      </c>
      <c r="N80" s="164" t="inlineStr"/>
    </row>
    <row r="81" ht="27" customHeight="1" s="28">
      <c r="C81" s="29" t="inlineStr">
        <is>
          <t xml:space="preserve">Ziraat Bankası </t>
        </is>
      </c>
      <c r="D81" s="62" t="inlineStr">
        <is>
          <t>TR07 0001 0021 6935 0399 4450 09</t>
        </is>
      </c>
      <c r="E81" s="146" t="n"/>
      <c r="J81" s="135" t="n"/>
      <c r="K81" s="29" t="inlineStr">
        <is>
          <t>Ziraat Bankası</t>
        </is>
      </c>
      <c r="M81" s="62" t="inlineStr">
        <is>
          <t>TR72 0001 0021 6994 2088 8850 01</t>
        </is>
      </c>
      <c r="N81" s="164" t="inlineStr"/>
    </row>
    <row r="82" ht="27" customHeight="1" s="28">
      <c r="C82" s="29" t="inlineStr">
        <is>
          <t>Albaraka Türk K.Bank</t>
        </is>
      </c>
      <c r="D82" s="62" t="inlineStr">
        <is>
          <t>TR66 0020 3000 0056 3735 0000 02</t>
        </is>
      </c>
      <c r="E82" s="146" t="n"/>
      <c r="J82" s="135" t="n"/>
      <c r="K82" s="29" t="inlineStr">
        <is>
          <t>Albaraka Türk K.Bank.</t>
        </is>
      </c>
      <c r="M82" s="62" t="inlineStr">
        <is>
          <t>TR25 0020 3000 0770 5276 0000 01</t>
        </is>
      </c>
      <c r="N82" s="164" t="inlineStr"/>
    </row>
    <row r="83" ht="27" customHeight="1" s="28" thickBot="1">
      <c r="C83" s="30" t="inlineStr">
        <is>
          <t xml:space="preserve">Vakıflar Bankası </t>
        </is>
      </c>
      <c r="D83" s="63" t="inlineStr">
        <is>
          <t>TR57 0001 5001 5800 7284 2692 06</t>
        </is>
      </c>
      <c r="E83" s="146" t="n"/>
      <c r="J83" s="135" t="n"/>
      <c r="K83" s="30" t="inlineStr"/>
      <c r="L83" s="150" t="n"/>
      <c r="M83" s="63" t="inlineStr"/>
      <c r="N83" s="164" t="inlineStr"/>
    </row>
    <row r="84" ht="27" customHeight="1" s="28">
      <c r="C84" s="27" t="n"/>
      <c r="D84" s="27" t="n"/>
      <c r="E84" s="27" t="n"/>
      <c r="F84" s="27" t="n"/>
    </row>
    <row r="85" ht="27" customHeight="1" s="28" thickBot="1">
      <c r="C85" s="105" t="inlineStr">
        <is>
          <t xml:space="preserve">TARAFLARIN KAŞE İMZASI </t>
        </is>
      </c>
      <c r="M85" s="135" t="n"/>
    </row>
    <row r="86" ht="27" customHeight="1" s="28" thickBot="1">
      <c r="C86" s="183" t="inlineStr">
        <is>
          <t xml:space="preserve">AYKA KAPI ADINA İMZA </t>
        </is>
      </c>
      <c r="D86" s="138" t="n"/>
      <c r="J86" s="183">
        <f>D23</f>
        <v/>
      </c>
      <c r="K86" s="137" t="n"/>
      <c r="L86" s="137" t="n"/>
      <c r="M86" s="138" t="n"/>
    </row>
    <row r="87" ht="27" customHeight="1" s="28"/>
    <row r="88" ht="27" customHeight="1" s="28"/>
    <row r="89" ht="27" customHeight="1" s="28"/>
    <row r="90" ht="27" customHeight="1" s="28"/>
    <row r="91" ht="27" customHeight="1" s="28"/>
    <row r="92" ht="27" customHeight="1" s="28"/>
    <row r="93" ht="27" customHeight="1" s="28"/>
    <row r="94" ht="27" customHeight="1" s="28"/>
    <row r="95" ht="27" customHeight="1" s="28"/>
    <row r="96" ht="27" customHeight="1" s="28"/>
    <row r="97" ht="27" customHeight="1" s="28"/>
  </sheetData>
  <sheetProtection selectLockedCells="1" selectUnlockedCells="0" algorithmName="SHA-512" sheet="1" objects="0" insertRows="1" insertHyperlinks="1" autoFilter="1" scenarios="0" formatColumns="1" deleteColumns="1" insertColumns="1" pivotTables="1" deleteRows="1" formatCells="1" saltValue="M/VzsnyMmiCAz7EvtMUkoA==" formatRows="1" sort="1" spinCount="100000" hashValue="5FIkdmyDtpjktWpl+LiemTAfwpmgJBPr5pcoNKOCNmhjs6Xf4RuwMCReO2LBRmxu8YPYu8bcpBZdHKRrrqfAHw=="/>
  <mergeCells count="49">
    <mergeCell ref="I74:M74"/>
    <mergeCell ref="C69:M69"/>
    <mergeCell ref="E16:J19"/>
    <mergeCell ref="C86:D86"/>
    <mergeCell ref="K83:L83"/>
    <mergeCell ref="C77:M77"/>
    <mergeCell ref="C15:M15"/>
    <mergeCell ref="D30:M30"/>
    <mergeCell ref="D25:M25"/>
    <mergeCell ref="K80:L80"/>
    <mergeCell ref="C28:M28"/>
    <mergeCell ref="D24:M24"/>
    <mergeCell ref="C79:D79"/>
    <mergeCell ref="D33:M33"/>
    <mergeCell ref="D23:M23"/>
    <mergeCell ref="C16:D16"/>
    <mergeCell ref="C29:M29"/>
    <mergeCell ref="K81:L81"/>
    <mergeCell ref="D26:M26"/>
    <mergeCell ref="I72:M72"/>
    <mergeCell ref="C85:M85"/>
    <mergeCell ref="K17:M17"/>
    <mergeCell ref="I75:M75"/>
    <mergeCell ref="I71:M71"/>
    <mergeCell ref="C22:M22"/>
    <mergeCell ref="K19:M19"/>
    <mergeCell ref="C12:M12"/>
    <mergeCell ref="C34:M35"/>
    <mergeCell ref="J63:K63"/>
    <mergeCell ref="C52:M54"/>
    <mergeCell ref="J61:L61"/>
    <mergeCell ref="B15:B27"/>
    <mergeCell ref="C61:D61"/>
    <mergeCell ref="K18:M18"/>
    <mergeCell ref="C36:M36"/>
    <mergeCell ref="K16:M16"/>
    <mergeCell ref="C17:D17"/>
    <mergeCell ref="C70:M70"/>
    <mergeCell ref="E79:J83"/>
    <mergeCell ref="D27:M27"/>
    <mergeCell ref="I73:M73"/>
    <mergeCell ref="K82:L82"/>
    <mergeCell ref="C20:M21"/>
    <mergeCell ref="J86:M86"/>
    <mergeCell ref="J62:K62"/>
    <mergeCell ref="C19:D19"/>
    <mergeCell ref="K79:M79"/>
    <mergeCell ref="C18:D18"/>
    <mergeCell ref="C78:M78"/>
  </mergeCells>
  <dataValidations count="2">
    <dataValidation sqref="I38:I44" showDropDown="0" showInputMessage="1" showErrorMessage="1" allowBlank="0" type="whole">
      <formula1>0</formula1>
      <formula2>50</formula2>
    </dataValidation>
    <dataValidation sqref="J38:J44" showDropDown="0" showInputMessage="1" showErrorMessage="1" allowBlank="0" type="whole">
      <formula1>0</formula1>
      <formula2>12</formula2>
    </dataValidation>
  </dataValidations>
  <pageMargins left="0.1574803149606299" right="0.1574803149606299" top="0.03937007874015748" bottom="0.03937007874015748" header="0.3149606299212598" footer="0.3149606299212598"/>
  <pageSetup orientation="landscape" paperSize="9" scale="46" fitToHeight="0"/>
  <colBreaks count="1" manualBreakCount="1">
    <brk id="3" min="0" max="1048575" man="1"/>
  </colBreaks>
  <drawing xmlns:r="http://schemas.openxmlformats.org/officeDocument/2006/relationships" r:id="rId1"/>
</worksheet>
</file>

<file path=xl/worksheets/sheet2.xml><?xml version="1.0" encoding="utf-8"?>
<worksheet xmlns="http://schemas.openxmlformats.org/spreadsheetml/2006/main">
  <sheetPr>
    <outlinePr summaryBelow="1" summaryRight="1"/>
    <pageSetUpPr/>
  </sheetPr>
  <dimension ref="A1:C117"/>
  <sheetViews>
    <sheetView workbookViewId="0">
      <selection activeCell="A9" sqref="A9:C9"/>
    </sheetView>
  </sheetViews>
  <sheetFormatPr baseColWidth="8" defaultRowHeight="15"/>
  <cols>
    <col width="27.5703125" customWidth="1" style="28" min="1" max="1"/>
    <col width="54.85546875" customWidth="1" style="28" min="2" max="2"/>
    <col width="14" customWidth="1" style="28" min="3" max="3"/>
    <col width="9.140625" customWidth="1" style="28" min="4" max="16384"/>
  </cols>
  <sheetData>
    <row r="1">
      <c r="A1" t="inlineStr">
        <is>
          <t xml:space="preserve">kod </t>
        </is>
      </c>
      <c r="B1" t="inlineStr">
        <is>
          <t>ürün adı</t>
        </is>
      </c>
      <c r="C1" t="inlineStr">
        <is>
          <t>birim fiyatı</t>
        </is>
      </c>
    </row>
    <row r="2">
      <c r="A2" t="inlineStr">
        <is>
          <t>152.26.001</t>
        </is>
      </c>
      <c r="B2" t="inlineStr">
        <is>
          <t>Pvc Membran-1 Kanat-Pvc Kasa 10 cm-9 cm 8 mm Takım</t>
        </is>
      </c>
      <c r="C2" s="192" t="n">
        <v>6910.71</v>
      </c>
    </row>
    <row r="3">
      <c r="A3" t="inlineStr">
        <is>
          <t>152.26.003</t>
        </is>
      </c>
      <c r="B3" t="inlineStr">
        <is>
          <t>Pvc Membran- Kanat-Pvc Kasa 12 cm-9 cm 8 mm Takım</t>
        </is>
      </c>
      <c r="C3" s="192" t="n">
        <v>7165.51</v>
      </c>
    </row>
    <row r="4">
      <c r="A4" t="inlineStr">
        <is>
          <t>152.26.005</t>
        </is>
      </c>
      <c r="B4" t="inlineStr">
        <is>
          <t>Pvc Membran- Kanat-Pvc Kasa 14 cm-9 cm 8 mm Takım</t>
        </is>
      </c>
      <c r="C4" s="192" t="n">
        <v>7201.83</v>
      </c>
    </row>
    <row r="5">
      <c r="A5" t="inlineStr">
        <is>
          <t>152.26.007</t>
        </is>
      </c>
      <c r="B5" t="inlineStr">
        <is>
          <t>Pvc Membran- Kanat-Pvc Kasa 16 cm-9 cm 8 mm Takım</t>
        </is>
      </c>
      <c r="C5" s="192" t="n">
        <v>7683.8</v>
      </c>
    </row>
    <row r="6">
      <c r="A6" t="inlineStr">
        <is>
          <t>152.26.011</t>
        </is>
      </c>
      <c r="B6" t="inlineStr">
        <is>
          <t>Pvc Membran-1 Kanat-Pvc Kasa 10 cm-9 cm 10 mm Takım</t>
        </is>
      </c>
      <c r="C6" s="192" t="n">
        <v>6996.96</v>
      </c>
    </row>
    <row r="7">
      <c r="A7" t="inlineStr">
        <is>
          <t>152.26.013</t>
        </is>
      </c>
      <c r="B7" t="inlineStr">
        <is>
          <t>Pvc Membran-1 Kanat-Pvc Kasa 12 cm-9 cm 10 mm Takım</t>
        </is>
      </c>
      <c r="C7" s="192" t="n">
        <v>7251.76</v>
      </c>
    </row>
    <row r="8">
      <c r="A8" t="inlineStr">
        <is>
          <t>152.26.015</t>
        </is>
      </c>
      <c r="B8" t="inlineStr">
        <is>
          <t>Pvc Membran-1 Kanat-Pvc Kasa 14 cm-9 cm 10 mm Takım</t>
        </is>
      </c>
      <c r="C8" s="192" t="n">
        <v>7288.08</v>
      </c>
    </row>
    <row r="9">
      <c r="A9" t="inlineStr">
        <is>
          <t>152.26.017</t>
        </is>
      </c>
      <c r="B9" t="inlineStr">
        <is>
          <t>Pvc Membran-1 Kanat-Pvc Kasa 16 cm-9 cm 10 mm Takım</t>
        </is>
      </c>
      <c r="C9" s="192" t="n">
        <v>7770.05</v>
      </c>
    </row>
    <row r="10">
      <c r="A10" t="inlineStr">
        <is>
          <t>152.26.021</t>
        </is>
      </c>
      <c r="B10" t="inlineStr">
        <is>
          <t>Lake-1 Kanat-Pvc Kasa 10 cm-9 cm 10 mm Takım</t>
        </is>
      </c>
      <c r="C10" s="192" t="n">
        <v>9006</v>
      </c>
    </row>
    <row r="11">
      <c r="A11" t="inlineStr">
        <is>
          <t>152.26.023</t>
        </is>
      </c>
      <c r="B11" t="inlineStr">
        <is>
          <t>Lake-1 Kanat-Pvc Kasa 12 cm-9 cm 10 mm Takım</t>
        </is>
      </c>
      <c r="C11" s="192" t="n">
        <v>9261.76</v>
      </c>
    </row>
    <row r="12">
      <c r="A12" t="inlineStr">
        <is>
          <t>152.26.025</t>
        </is>
      </c>
      <c r="B12" t="inlineStr">
        <is>
          <t>Lake-1 Kanat-Pvc Kasa 14 cm-9 cm 10 mm Takım</t>
        </is>
      </c>
      <c r="C12" s="192" t="n">
        <v>9298.08</v>
      </c>
    </row>
    <row r="13">
      <c r="A13" t="inlineStr">
        <is>
          <t>152.26.027</t>
        </is>
      </c>
      <c r="B13" t="inlineStr">
        <is>
          <t>Lake-1 Kanat-Pvc Kasa 16 cm-9 cm 10 mm Takım</t>
        </is>
      </c>
      <c r="C13" s="192" t="n">
        <v>9790.219999999999</v>
      </c>
    </row>
    <row r="14">
      <c r="A14" t="inlineStr">
        <is>
          <t>152.26.030</t>
        </is>
      </c>
      <c r="B14" t="inlineStr">
        <is>
          <t>Camlı Çıtalı (Cam Hariç) Fiyat Adeti</t>
        </is>
      </c>
      <c r="C14" s="192" t="n">
        <v>772.84</v>
      </c>
    </row>
    <row r="15">
      <c r="A15" t="inlineStr">
        <is>
          <t>152.26.031</t>
        </is>
      </c>
      <c r="B15" t="inlineStr">
        <is>
          <t>Oda&amp;Kilit-Menteşe Takım</t>
        </is>
      </c>
      <c r="C15" s="192" t="n">
        <v>477.43</v>
      </c>
    </row>
    <row r="16">
      <c r="A16" t="inlineStr">
        <is>
          <t>152.26.032</t>
        </is>
      </c>
      <c r="B16" t="inlineStr">
        <is>
          <t xml:space="preserve">Silindirli Kilit Menteşe Takım </t>
        </is>
      </c>
      <c r="C16" s="192" t="n">
        <v>1042.83</v>
      </c>
    </row>
    <row r="17">
      <c r="A17" t="inlineStr">
        <is>
          <t>152.26.033</t>
        </is>
      </c>
      <c r="B17" t="inlineStr">
        <is>
          <t>Pervaz Takımı 9cm*18mm Fiyat Farkı Adet</t>
        </is>
      </c>
      <c r="C17" s="192" t="n">
        <v>547</v>
      </c>
    </row>
    <row r="18">
      <c r="A18" t="inlineStr">
        <is>
          <t>152.27.001</t>
        </is>
      </c>
      <c r="B18" t="inlineStr">
        <is>
          <t xml:space="preserve">10 CM KASA-9 CM 8 MM Pervaz TAKIM </t>
        </is>
      </c>
      <c r="C18" s="192" t="n">
        <v>2529.87</v>
      </c>
    </row>
    <row r="19">
      <c r="A19" t="inlineStr">
        <is>
          <t>152.27.003</t>
        </is>
      </c>
      <c r="B19" t="inlineStr">
        <is>
          <t xml:space="preserve">12 CM KASA-9 CM 8 MM Pervaz TAKIM </t>
        </is>
      </c>
      <c r="C19" s="192" t="n">
        <v>2784.67</v>
      </c>
    </row>
    <row r="20">
      <c r="A20" t="inlineStr">
        <is>
          <t>152.27.005</t>
        </is>
      </c>
      <c r="B20" t="inlineStr">
        <is>
          <t xml:space="preserve">14 CM KASA-9 CM 8 MM Pervaz TAKIM </t>
        </is>
      </c>
      <c r="C20" s="192" t="n">
        <v>3039.82</v>
      </c>
    </row>
    <row r="21">
      <c r="A21" t="inlineStr">
        <is>
          <t>152.27.007</t>
        </is>
      </c>
      <c r="B21" t="inlineStr">
        <is>
          <t xml:space="preserve">16 CM KASA-9 CM 8 MM Pervaz TAKIM </t>
        </is>
      </c>
      <c r="C21" s="192" t="n">
        <v>3294.62</v>
      </c>
    </row>
    <row r="22">
      <c r="A22" t="inlineStr">
        <is>
          <t>152.27.009</t>
        </is>
      </c>
      <c r="B22" t="inlineStr">
        <is>
          <t xml:space="preserve">20 CM KASA-9 CM 8 MM Pervaz TAKIM </t>
        </is>
      </c>
      <c r="C22" s="192" t="n">
        <v>3804.57</v>
      </c>
    </row>
    <row r="23">
      <c r="A23" t="inlineStr">
        <is>
          <t>152.27.011</t>
        </is>
      </c>
      <c r="B23" t="inlineStr">
        <is>
          <t xml:space="preserve">10 CM KASA-9 CM 10 MM Pervaz TAKIM </t>
        </is>
      </c>
      <c r="C23" s="192" t="n">
        <v>2616.17</v>
      </c>
    </row>
    <row r="24">
      <c r="A24" t="inlineStr">
        <is>
          <t>152.27.013</t>
        </is>
      </c>
      <c r="B24" t="inlineStr">
        <is>
          <t xml:space="preserve">12 CM KASA-9 CM 10 MM Pervaz TAKIM </t>
        </is>
      </c>
      <c r="C24" s="192" t="n">
        <v>2870.97</v>
      </c>
    </row>
    <row r="25">
      <c r="A25" t="inlineStr">
        <is>
          <t>152.27.015</t>
        </is>
      </c>
      <c r="B25" t="inlineStr">
        <is>
          <t xml:space="preserve">14 CM KASA-9 CM 10 MM Pervaz TAKIM </t>
        </is>
      </c>
      <c r="C25" s="192" t="n">
        <v>3126.12</v>
      </c>
    </row>
    <row r="26">
      <c r="A26" t="inlineStr">
        <is>
          <t>152.27.017</t>
        </is>
      </c>
      <c r="B26" t="inlineStr">
        <is>
          <t xml:space="preserve">16 CM KASA-9 CM 10 MM Pervaz TAKIM </t>
        </is>
      </c>
      <c r="C26" s="192" t="n">
        <v>3380.92</v>
      </c>
    </row>
    <row r="27">
      <c r="A27" t="inlineStr">
        <is>
          <t>152.27.019</t>
        </is>
      </c>
      <c r="B27" t="inlineStr">
        <is>
          <t xml:space="preserve">20 CM KASA-9 CM 10 MM Pervaz TAKIM </t>
        </is>
      </c>
      <c r="C27" s="192" t="n">
        <v>2657.82</v>
      </c>
    </row>
    <row r="28">
      <c r="A28" t="inlineStr">
        <is>
          <t>151.10.0001</t>
        </is>
      </c>
      <c r="B28" t="inlineStr">
        <is>
          <t>Pvc Camlı Kanat 1- Membran</t>
        </is>
      </c>
      <c r="C28" s="192" t="n">
        <v>4962.21</v>
      </c>
    </row>
    <row r="29">
      <c r="A29" t="inlineStr">
        <is>
          <t>151.10.0002</t>
        </is>
      </c>
      <c r="B29" t="inlineStr">
        <is>
          <t xml:space="preserve">Pvc Camlı Kanat 2-Membran </t>
        </is>
      </c>
      <c r="C29" s="192" t="n">
        <v>5277.63</v>
      </c>
    </row>
    <row r="30">
      <c r="A30" t="inlineStr">
        <is>
          <t>151.10.0003</t>
        </is>
      </c>
      <c r="B30" t="inlineStr">
        <is>
          <t>Pvc Camlı Kanat 1-Newlıne</t>
        </is>
      </c>
      <c r="C30" s="192" t="n">
        <v>5081.92</v>
      </c>
    </row>
    <row r="31">
      <c r="A31" t="inlineStr">
        <is>
          <t>151.10.0004</t>
        </is>
      </c>
      <c r="B31" t="inlineStr">
        <is>
          <t>Pvc Camlı Kanat 2-Newlıne</t>
        </is>
      </c>
      <c r="C31" s="192" t="n">
        <v>5525.25</v>
      </c>
    </row>
    <row r="32">
      <c r="A32" t="inlineStr">
        <is>
          <t>151.10.0005</t>
        </is>
      </c>
      <c r="B32" t="inlineStr">
        <is>
          <t>Pvc Camlı Kanat 1- Fugalı</t>
        </is>
      </c>
      <c r="C32" s="192" t="n">
        <v>6933.27</v>
      </c>
    </row>
    <row r="33">
      <c r="A33" t="inlineStr">
        <is>
          <t>151.10.0006</t>
        </is>
      </c>
      <c r="B33" t="inlineStr">
        <is>
          <t xml:space="preserve">Pvc Camlı Kanat 2-Fugalı </t>
        </is>
      </c>
      <c r="C33" s="192" t="n">
        <v>7095.23</v>
      </c>
    </row>
    <row r="34">
      <c r="A34" t="inlineStr">
        <is>
          <t>151.10.0007</t>
        </is>
      </c>
      <c r="B34" t="inlineStr">
        <is>
          <t>Pvc Camlı Kanat 1- Baroniel</t>
        </is>
      </c>
      <c r="C34" s="192" t="n">
        <v>6033.01</v>
      </c>
    </row>
    <row r="35">
      <c r="A35" t="inlineStr">
        <is>
          <t>151.10.0008</t>
        </is>
      </c>
      <c r="B35" t="inlineStr">
        <is>
          <t xml:space="preserve">Pvc Camlı Kanat 2-Baroniel </t>
        </is>
      </c>
      <c r="C35" s="192" t="n">
        <v>6209.05</v>
      </c>
    </row>
    <row r="36">
      <c r="A36" t="inlineStr">
        <is>
          <t>151.10.0025</t>
        </is>
      </c>
      <c r="B36" t="inlineStr">
        <is>
          <t>Pvc Camlı Yavru Kanat Membran (20-50 cm)</t>
        </is>
      </c>
      <c r="C36" s="192" t="n">
        <v>4157.69</v>
      </c>
    </row>
    <row r="37">
      <c r="A37" t="inlineStr">
        <is>
          <t>151.10.0028</t>
        </is>
      </c>
      <c r="B37" t="inlineStr">
        <is>
          <t>Pvc Camlı Yavru Kanat Newlıne (20-50 cm)</t>
        </is>
      </c>
      <c r="C37" s="192" t="n">
        <v>4219.28</v>
      </c>
    </row>
    <row r="38">
      <c r="A38" t="inlineStr">
        <is>
          <t>151.10.0031</t>
        </is>
      </c>
      <c r="B38" t="inlineStr">
        <is>
          <t>Pvc Camlı Yavru Kanat Fugalı (20-50 cm)</t>
        </is>
      </c>
      <c r="C38" s="192" t="n">
        <v>5092.83</v>
      </c>
    </row>
    <row r="39">
      <c r="A39" t="inlineStr">
        <is>
          <t>151.10.0034</t>
        </is>
      </c>
      <c r="B39" t="inlineStr">
        <is>
          <t>Pvc Camlı Yavru Kanat Baroniel (20-50 cm)</t>
        </is>
      </c>
      <c r="C39" s="192" t="n">
        <v>4610.92</v>
      </c>
    </row>
    <row r="40">
      <c r="A40" t="inlineStr">
        <is>
          <t>151.10.0037</t>
        </is>
      </c>
      <c r="B40" t="inlineStr">
        <is>
          <t xml:space="preserve">Pvc Kapalı Kanat 1-Membran </t>
        </is>
      </c>
      <c r="C40" s="192" t="n">
        <v>4255.19</v>
      </c>
    </row>
    <row r="41">
      <c r="A41" t="inlineStr">
        <is>
          <t>151.10.0038</t>
        </is>
      </c>
      <c r="B41" t="inlineStr">
        <is>
          <t xml:space="preserve">Pvc Kapalı Kanat 2-Membran </t>
        </is>
      </c>
      <c r="C41" s="192" t="n">
        <v>4553.1</v>
      </c>
    </row>
    <row r="42">
      <c r="A42" t="inlineStr">
        <is>
          <t>151.10.0039</t>
        </is>
      </c>
      <c r="B42" t="inlineStr">
        <is>
          <t xml:space="preserve">Pvc Kapalı Kanat 1-Newlıne </t>
        </is>
      </c>
      <c r="C42" s="192" t="n">
        <v>4371.44</v>
      </c>
    </row>
    <row r="43">
      <c r="A43" t="inlineStr">
        <is>
          <t>151.10.0040</t>
        </is>
      </c>
      <c r="B43" t="inlineStr">
        <is>
          <t xml:space="preserve">Pvc Kapalı Kanat 2-Newlıne </t>
        </is>
      </c>
      <c r="C43" s="192" t="n">
        <v>4801.92</v>
      </c>
    </row>
    <row r="44">
      <c r="A44" t="inlineStr">
        <is>
          <t>151.10.0041</t>
        </is>
      </c>
      <c r="B44" t="inlineStr">
        <is>
          <t xml:space="preserve">Pvc Kapalı Kanat 1-Fugalı </t>
        </is>
      </c>
      <c r="C44" s="192" t="n">
        <v>6353.28</v>
      </c>
    </row>
    <row r="45">
      <c r="A45" t="inlineStr">
        <is>
          <t>151.10.0042</t>
        </is>
      </c>
      <c r="B45" t="inlineStr">
        <is>
          <t xml:space="preserve">Pvc Kapalı Kanat 2-Fugalı </t>
        </is>
      </c>
      <c r="C45" s="192" t="n">
        <v>6515.24</v>
      </c>
    </row>
    <row r="46">
      <c r="A46" t="inlineStr">
        <is>
          <t>151.10.0043</t>
        </is>
      </c>
      <c r="B46" t="inlineStr">
        <is>
          <t xml:space="preserve">Pvc Kapalı Kanat 1-Baroniel </t>
        </is>
      </c>
      <c r="C46" s="192" t="n">
        <v>5682.93</v>
      </c>
    </row>
    <row r="47">
      <c r="A47" t="inlineStr">
        <is>
          <t>151.10.0044</t>
        </is>
      </c>
      <c r="B47" t="inlineStr">
        <is>
          <t xml:space="preserve">Pvc Kapalı Kanat 2-Baroniel </t>
        </is>
      </c>
      <c r="C47" s="192" t="n">
        <v>5858.97</v>
      </c>
    </row>
    <row r="48">
      <c r="A48" t="inlineStr">
        <is>
          <t>151.10.0061</t>
        </is>
      </c>
      <c r="B48" t="inlineStr">
        <is>
          <t>Pvc Kapalı Yavru Kanat Membran (20-50 cm)</t>
        </is>
      </c>
      <c r="C48" s="192" t="n">
        <v>3130.15</v>
      </c>
    </row>
    <row r="49">
      <c r="A49" t="inlineStr">
        <is>
          <t>151.10.0064</t>
        </is>
      </c>
      <c r="B49" t="inlineStr">
        <is>
          <t>Pvc Kapalı Yavru Kanat Newlıne (20-50 cm)</t>
        </is>
      </c>
      <c r="C49" s="192" t="n">
        <v>3160.94</v>
      </c>
    </row>
    <row r="50">
      <c r="A50" t="inlineStr">
        <is>
          <t>151.10.0067</t>
        </is>
      </c>
      <c r="B50" t="inlineStr">
        <is>
          <t>Pvc Kapalı Yavru Kanat Fugalı (20-50 cm)</t>
        </is>
      </c>
      <c r="C50" s="192" t="n">
        <v>3597.72</v>
      </c>
    </row>
    <row r="51">
      <c r="A51" t="inlineStr">
        <is>
          <t>151.10.0070</t>
        </is>
      </c>
      <c r="B51" t="inlineStr">
        <is>
          <t>Pvc Kapalı Yavru Kanat Baroniel (20-50 cm)</t>
        </is>
      </c>
      <c r="C51" s="192" t="n">
        <v>4031.88</v>
      </c>
    </row>
    <row r="52">
      <c r="A52" t="inlineStr">
        <is>
          <t>151.10.0201</t>
        </is>
      </c>
      <c r="B52" t="inlineStr">
        <is>
          <t>18*45 Lik Oda Kiliti ve 2mm Menteşe Takımı</t>
        </is>
      </c>
      <c r="C52" s="192" t="n">
        <v>488.05</v>
      </c>
    </row>
    <row r="53">
      <c r="A53" t="inlineStr">
        <is>
          <t>151.10.0202</t>
        </is>
      </c>
      <c r="B53" t="inlineStr">
        <is>
          <t>18*45 Lik Wc Kiliti ve 2mm Menteşe Takımı</t>
        </is>
      </c>
      <c r="C53" s="192" t="n">
        <v>488.05</v>
      </c>
    </row>
    <row r="54">
      <c r="A54" t="inlineStr">
        <is>
          <t>151.10.0203</t>
        </is>
      </c>
      <c r="B54" t="inlineStr">
        <is>
          <t>18*45 Lik Silindirli Kiliti ve 2mm Menteşe Takımı</t>
        </is>
      </c>
      <c r="C54" s="192" t="n">
        <v>1057.13</v>
      </c>
    </row>
    <row r="55">
      <c r="A55" t="inlineStr">
        <is>
          <t>151.10.0204</t>
        </is>
      </c>
      <c r="B55" t="inlineStr">
        <is>
          <t>Raylı Kapı Aksesuar ve 2mm Menteşe Takımı</t>
        </is>
      </c>
      <c r="C55" s="192" t="n">
        <v>1401.25</v>
      </c>
    </row>
    <row r="56">
      <c r="A56" t="inlineStr">
        <is>
          <t>151.10.0205</t>
        </is>
      </c>
      <c r="B56" t="inlineStr">
        <is>
          <t>18*45Lİk Silindirli Oda Plastik ve 2,5mm Menteşe Takımı</t>
        </is>
      </c>
      <c r="C56" s="192" t="n">
        <v>1085.45</v>
      </c>
    </row>
    <row r="57">
      <c r="A57" t="inlineStr">
        <is>
          <t>151.10.0206</t>
        </is>
      </c>
      <c r="B57" t="inlineStr">
        <is>
          <t>Lake Kapalı Kanat 1</t>
        </is>
      </c>
      <c r="C57" s="192" t="n">
        <v>7429.43</v>
      </c>
    </row>
    <row r="58">
      <c r="A58" t="inlineStr">
        <is>
          <t>151.10.0207</t>
        </is>
      </c>
      <c r="B58" t="inlineStr">
        <is>
          <t>Lake Kapalı Kanat 2</t>
        </is>
      </c>
      <c r="C58" s="192" t="n">
        <v>7759.65</v>
      </c>
    </row>
    <row r="59">
      <c r="A59" t="inlineStr">
        <is>
          <t>151.10.0208</t>
        </is>
      </c>
      <c r="B59" t="inlineStr">
        <is>
          <t>Lake Polikarbon 0,65 m2 Camlı Kanat 2</t>
        </is>
      </c>
      <c r="C59" s="192" t="n">
        <v>9265.08</v>
      </c>
    </row>
    <row r="60">
      <c r="A60" t="inlineStr">
        <is>
          <t>151.10.0209</t>
        </is>
      </c>
      <c r="B60" t="inlineStr">
        <is>
          <t>Lake Polikarbon 1,10 m2 Camlı Kanat 2</t>
        </is>
      </c>
      <c r="C60" s="192" t="n">
        <v>10600.05</v>
      </c>
    </row>
    <row r="61">
      <c r="A61" t="inlineStr">
        <is>
          <t>151.10.0210</t>
        </is>
      </c>
      <c r="B61" t="inlineStr">
        <is>
          <t>Lake Camlı Kanat 1</t>
        </is>
      </c>
      <c r="C61" s="192" t="n">
        <v>8487.030000000001</v>
      </c>
    </row>
    <row r="62">
      <c r="A62" t="inlineStr">
        <is>
          <t>151.10.0211</t>
        </is>
      </c>
      <c r="B62" t="inlineStr">
        <is>
          <t>Lake Camlı Kanat 2</t>
        </is>
      </c>
      <c r="C62" s="192" t="n">
        <v>8884.85</v>
      </c>
    </row>
    <row r="63">
      <c r="A63" t="inlineStr">
        <is>
          <t>151.10.1015</t>
        </is>
      </c>
      <c r="B63" t="inlineStr">
        <is>
          <t>İç Kapı Pvc Membran Panel 6 mm 93*210 cm</t>
        </is>
      </c>
      <c r="C63" s="192" t="n">
        <v>1357.52</v>
      </c>
    </row>
    <row r="64">
      <c r="A64" t="inlineStr">
        <is>
          <t>151.10.1020</t>
        </is>
      </c>
      <c r="B64" t="inlineStr">
        <is>
          <t>İç Kapı Pvc Membran Panel 6 mm 83*210 cm</t>
        </is>
      </c>
      <c r="C64" s="192" t="n">
        <v>1225.88</v>
      </c>
    </row>
    <row r="65">
      <c r="A65" t="inlineStr">
        <is>
          <t>151.10.1021</t>
        </is>
      </c>
      <c r="B65" t="inlineStr">
        <is>
          <t>Pvc Membran Panel 6 mm 83*220 cm</t>
        </is>
      </c>
      <c r="C65" s="192" t="n">
        <v>1282.97</v>
      </c>
    </row>
    <row r="66">
      <c r="A66" t="inlineStr">
        <is>
          <t>151.10.1040</t>
        </is>
      </c>
      <c r="B66" t="inlineStr">
        <is>
          <t>Pvc Panel 4 mm 93*210 cm</t>
        </is>
      </c>
      <c r="C66" s="192" t="n">
        <v>1238.82</v>
      </c>
    </row>
    <row r="67">
      <c r="A67" t="inlineStr">
        <is>
          <t>151.10.1045</t>
        </is>
      </c>
      <c r="B67" t="inlineStr">
        <is>
          <t>Pvc Panel 4 mm 83*210 cm</t>
        </is>
      </c>
      <c r="C67" s="192" t="n">
        <v>1172.35</v>
      </c>
    </row>
    <row r="68">
      <c r="A68" t="inlineStr">
        <is>
          <t>151.10.1053</t>
        </is>
      </c>
      <c r="B68" t="inlineStr">
        <is>
          <t>Pvc Düz Panel 6 mm 83*210 cm</t>
        </is>
      </c>
      <c r="C68" s="192" t="n">
        <v>1254.8</v>
      </c>
    </row>
    <row r="69">
      <c r="A69" t="inlineStr">
        <is>
          <t>151.10.1054</t>
        </is>
      </c>
      <c r="B69" t="inlineStr">
        <is>
          <t>Pvc Düz Panel 6 mm 93*210 cm</t>
        </is>
      </c>
      <c r="C69" s="192" t="n">
        <v>1314.43</v>
      </c>
    </row>
    <row r="70">
      <c r="A70" t="inlineStr">
        <is>
          <t>151.10.1055</t>
        </is>
      </c>
      <c r="B70" t="inlineStr">
        <is>
          <t>Ham Kapalı Kanat 1</t>
        </is>
      </c>
      <c r="C70" s="192" t="n">
        <v>3394.5</v>
      </c>
    </row>
    <row r="71">
      <c r="A71" t="inlineStr">
        <is>
          <t>151.10.1056</t>
        </is>
      </c>
      <c r="B71" t="inlineStr">
        <is>
          <t>Ham Kapalı Kanat 2</t>
        </is>
      </c>
      <c r="C71" s="192" t="n">
        <v>3609.02</v>
      </c>
    </row>
    <row r="72">
      <c r="A72" t="inlineStr">
        <is>
          <t>151.10.1057</t>
        </is>
      </c>
      <c r="B72" t="inlineStr">
        <is>
          <t>Ham Camlı Kanat 1</t>
        </is>
      </c>
      <c r="C72" s="192" t="n">
        <v>4089.93</v>
      </c>
    </row>
    <row r="73">
      <c r="A73" t="inlineStr">
        <is>
          <t>151.10.1058</t>
        </is>
      </c>
      <c r="B73" t="inlineStr">
        <is>
          <t>Ham Camlı Kanat 2</t>
        </is>
      </c>
      <c r="C73" s="192" t="n">
        <v>4183.56</v>
      </c>
    </row>
    <row r="74">
      <c r="A74" t="inlineStr">
        <is>
          <t>151.10.1059</t>
        </is>
      </c>
      <c r="B74" t="inlineStr">
        <is>
          <t>Ham Panel 6mm 83*210 cm</t>
        </is>
      </c>
      <c r="C74" s="192" t="n">
        <v>848.59</v>
      </c>
    </row>
    <row r="75">
      <c r="A75" t="inlineStr">
        <is>
          <t>151.10.1060</t>
        </is>
      </c>
      <c r="B75" t="inlineStr">
        <is>
          <t>Ham Panel 6mm 93*210cm</t>
        </is>
      </c>
      <c r="C75" s="192" t="n">
        <v>862.28</v>
      </c>
    </row>
    <row r="76">
      <c r="A76" t="inlineStr">
        <is>
          <t>151.10.1061</t>
        </is>
      </c>
      <c r="B76" t="inlineStr">
        <is>
          <t>PVC  Kanat Giyotin-1 ( Polikarbon 0,65 m2)</t>
        </is>
      </c>
      <c r="C76" s="192" t="n">
        <v>5483.3</v>
      </c>
    </row>
    <row r="77">
      <c r="A77" t="inlineStr">
        <is>
          <t>151.10.1062</t>
        </is>
      </c>
      <c r="B77" t="inlineStr">
        <is>
          <t>PVC  Kanat Giyotin-1( Polikarbon 1,10 m2)</t>
        </is>
      </c>
      <c r="C77" s="192" t="n">
        <v>6333.53</v>
      </c>
    </row>
    <row r="78">
      <c r="A78" t="inlineStr">
        <is>
          <t>151.08.0001</t>
        </is>
      </c>
      <c r="B78" t="inlineStr">
        <is>
          <t>Pvc Mdf  Düz Kasa 36 mm 10*210 Cm</t>
        </is>
      </c>
      <c r="C78" s="192" t="n">
        <v>553.25</v>
      </c>
    </row>
    <row r="79">
      <c r="A79" t="inlineStr">
        <is>
          <t>151.08.0003</t>
        </is>
      </c>
      <c r="B79" t="inlineStr">
        <is>
          <t>Pvc Mdf  Düz Kasa 36 mm 12*210 Cm</t>
        </is>
      </c>
      <c r="C79" s="192" t="n">
        <v>655.17</v>
      </c>
    </row>
    <row r="80">
      <c r="A80" t="inlineStr">
        <is>
          <t>151.08.0005</t>
        </is>
      </c>
      <c r="B80" t="inlineStr">
        <is>
          <t>Pvc Mdf  Düz Kasa 36 mm 14*210 Cm</t>
        </is>
      </c>
      <c r="C80" s="192" t="n">
        <v>757.23</v>
      </c>
    </row>
    <row r="81">
      <c r="A81" t="inlineStr">
        <is>
          <t>151.08.0007</t>
        </is>
      </c>
      <c r="B81" t="inlineStr">
        <is>
          <t>Pvc Mdf  Düz Kasa 36 mm 16*210 Cm</t>
        </is>
      </c>
      <c r="C81" s="192" t="n">
        <v>859.15</v>
      </c>
    </row>
    <row r="82">
      <c r="A82" t="inlineStr">
        <is>
          <t>151.08.0009</t>
        </is>
      </c>
      <c r="B82" t="inlineStr">
        <is>
          <t>Pvc Mdf Düz Kasa 36 mm 18*210 Cm</t>
        </is>
      </c>
      <c r="C82" s="192" t="n">
        <v>961.21</v>
      </c>
    </row>
    <row r="83">
      <c r="A83" t="inlineStr">
        <is>
          <t>151.08.0011</t>
        </is>
      </c>
      <c r="B83" t="inlineStr">
        <is>
          <t>Pvc Mdf Düz Kasa 36 mm 20*210 Cm</t>
        </is>
      </c>
      <c r="C83" s="192" t="n">
        <v>1063.13</v>
      </c>
    </row>
    <row r="84">
      <c r="A84" t="inlineStr">
        <is>
          <t>151.08.0401</t>
        </is>
      </c>
      <c r="B84" t="inlineStr">
        <is>
          <t>Pvc Plastik Düz Kasa 36 mm 10*210 Cm</t>
        </is>
      </c>
      <c r="C84" s="192" t="n">
        <v>355.65</v>
      </c>
    </row>
    <row r="85">
      <c r="A85" t="inlineStr">
        <is>
          <t>151.08.0402</t>
        </is>
      </c>
      <c r="B85" t="inlineStr">
        <is>
          <t>Pvc Plastik Düz Kasa 36 mm 12*210 Cm</t>
        </is>
      </c>
      <c r="C85" s="192" t="n">
        <v>358.9</v>
      </c>
    </row>
    <row r="86">
      <c r="A86" t="inlineStr">
        <is>
          <t>151.08.0405</t>
        </is>
      </c>
      <c r="B86" t="inlineStr">
        <is>
          <t>Pvc Plastik Bombeli  Kasa 36 mm 15*210 Cm</t>
        </is>
      </c>
      <c r="C86" s="192" t="n">
        <v>478.56</v>
      </c>
    </row>
    <row r="87">
      <c r="A87" t="inlineStr">
        <is>
          <t>151.08.0407</t>
        </is>
      </c>
      <c r="B87" t="inlineStr">
        <is>
          <t>Pvc Plastik Düz Kasa 36 mm 16*210 Cm</t>
        </is>
      </c>
      <c r="C87" s="192" t="n">
        <v>484.87</v>
      </c>
    </row>
    <row r="88">
      <c r="A88" t="inlineStr">
        <is>
          <t>151.08.0411</t>
        </is>
      </c>
      <c r="B88" t="inlineStr">
        <is>
          <t>Pvc Plastik Düz Kasa 36 mm 20*210 Cm</t>
        </is>
      </c>
      <c r="C88" s="192" t="n">
        <v>834.4</v>
      </c>
    </row>
    <row r="89">
      <c r="A89" t="inlineStr">
        <is>
          <t>151.08.0426</t>
        </is>
      </c>
      <c r="B89" t="inlineStr">
        <is>
          <t>Pvc Plastik Düz Kasa 36 mm 20*220 Cm</t>
        </is>
      </c>
      <c r="C89" s="192" t="n">
        <v>874.86</v>
      </c>
    </row>
    <row r="90">
      <c r="A90" t="inlineStr">
        <is>
          <t>151.08.0701</t>
        </is>
      </c>
      <c r="B90" t="inlineStr">
        <is>
          <t xml:space="preserve">Kasa-Pervaz Takım Sarfı 10+12'lük (220 Cm) Pvc MDF </t>
        </is>
      </c>
      <c r="C90" s="192" t="n">
        <v>304.52</v>
      </c>
    </row>
    <row r="91">
      <c r="A91" t="inlineStr">
        <is>
          <t>151.08.0702</t>
        </is>
      </c>
      <c r="B91" t="inlineStr">
        <is>
          <t xml:space="preserve">Kasa-Pervaz Takım Sarfı 14+16 'lik ( 220 Cm) Pvc  MDF </t>
        </is>
      </c>
      <c r="C91" s="192" t="n">
        <v>328.56</v>
      </c>
    </row>
    <row r="92">
      <c r="A92" t="inlineStr">
        <is>
          <t>151.08.0703</t>
        </is>
      </c>
      <c r="B92" t="inlineStr">
        <is>
          <t>Kasa-Pervaz Takım Sarfı 18+20'lik ( 220 Cm)Pvc  MDF</t>
        </is>
      </c>
      <c r="C92" s="192" t="n">
        <v>341.43</v>
      </c>
    </row>
    <row r="93">
      <c r="A93" t="inlineStr">
        <is>
          <t>151.08.0705</t>
        </is>
      </c>
      <c r="B93" t="inlineStr">
        <is>
          <t xml:space="preserve"> Kasa-Pervaz Takım Kartonsuz Sarfı 10+12'lük (220 Cm) Pvc MDF</t>
        </is>
      </c>
      <c r="C93" s="192" t="n">
        <v>125.65</v>
      </c>
    </row>
    <row r="94">
      <c r="A94" t="inlineStr">
        <is>
          <t>151.08.0706</t>
        </is>
      </c>
      <c r="B94" t="inlineStr">
        <is>
          <t xml:space="preserve">Kasa-Pervaz Takım Kartonsuz Sarfı 14+16 'lik </t>
        </is>
      </c>
      <c r="C94" s="192" t="n">
        <v>133.99</v>
      </c>
    </row>
    <row r="95">
      <c r="A95" t="inlineStr">
        <is>
          <t>151.08.0707</t>
        </is>
      </c>
      <c r="B95" t="inlineStr">
        <is>
          <t xml:space="preserve">Kasa-Pervaz Takım Kartonsuz Sarfı 20+22'lik ( 220 Cm)Pvc  MDF </t>
        </is>
      </c>
      <c r="C95" s="192" t="n">
        <v>133.99</v>
      </c>
    </row>
    <row r="96">
      <c r="A96" t="inlineStr">
        <is>
          <t>151.08.0709</t>
        </is>
      </c>
      <c r="B96" t="inlineStr">
        <is>
          <t xml:space="preserve">Kasa-Pervaz Takım  Sarfı 12 'lük ( 220 Cm) Pvc Plastik </t>
        </is>
      </c>
      <c r="C96" s="192" t="n">
        <v>353.96</v>
      </c>
    </row>
    <row r="97">
      <c r="A97" t="inlineStr">
        <is>
          <t>151.08.0710</t>
        </is>
      </c>
      <c r="B97" t="inlineStr">
        <is>
          <t xml:space="preserve"> Kasa-Pervaz Takım  Sarfı 16 'lik ( 220 Cm) Pvc Plastik</t>
        </is>
      </c>
      <c r="C97" s="192" t="n">
        <v>378</v>
      </c>
    </row>
    <row r="98">
      <c r="A98" t="inlineStr">
        <is>
          <t>151.08.0711</t>
        </is>
      </c>
      <c r="B98" t="inlineStr">
        <is>
          <t xml:space="preserve">Kasa-Pervaz Takım  Sarfı  20'lik ( 220 Cm) Pvc Plastik </t>
        </is>
      </c>
      <c r="C98" s="192" t="n">
        <v>390.87</v>
      </c>
    </row>
    <row r="99">
      <c r="A99" t="inlineStr">
        <is>
          <t>151.09.0002</t>
        </is>
      </c>
      <c r="B99" t="inlineStr">
        <is>
          <t>Pvc Mdf Düz Pervaz 8*3,5 cm 10 mm 220 Cm</t>
        </is>
      </c>
      <c r="C99" s="192" t="n">
        <v>243.34</v>
      </c>
    </row>
    <row r="100">
      <c r="A100" t="inlineStr">
        <is>
          <t>151.09.0010</t>
        </is>
      </c>
      <c r="B100" t="inlineStr">
        <is>
          <t>Pvc Mdf Düz Pervaz 8*3,5 cm 8 mm 220 Cm</t>
        </is>
      </c>
      <c r="C100" s="192" t="n">
        <v>209</v>
      </c>
    </row>
    <row r="101">
      <c r="A101" t="inlineStr">
        <is>
          <t>151.09.0012</t>
        </is>
      </c>
      <c r="B101" t="inlineStr">
        <is>
          <t>Pvc Mdf Düz Pervaz 9*3,5 cm 10 mm 220 Cm</t>
        </is>
      </c>
      <c r="C101" s="192" t="n">
        <v>246.61</v>
      </c>
    </row>
    <row r="102">
      <c r="A102" t="inlineStr">
        <is>
          <t>151.09.0017</t>
        </is>
      </c>
      <c r="B102" t="inlineStr">
        <is>
          <t>Pvc Düz Pervaz 9*3,5 cm 18mm 220 cm</t>
        </is>
      </c>
      <c r="C102" s="192" t="n">
        <v>363.24</v>
      </c>
    </row>
    <row r="103">
      <c r="A103" t="inlineStr">
        <is>
          <t>151.09.0021</t>
        </is>
      </c>
      <c r="B103" t="inlineStr">
        <is>
          <t xml:space="preserve">Pvc Mdf Düz Pervaz 10*3,5 cm 10 mm 210 Cm </t>
        </is>
      </c>
      <c r="C103" s="192" t="n">
        <v>278.98</v>
      </c>
    </row>
    <row r="104">
      <c r="A104" t="inlineStr">
        <is>
          <t>151.09.0024</t>
        </is>
      </c>
      <c r="B104" t="inlineStr">
        <is>
          <t>Pvc Mdf Düz Pervaz 9*3,5 cm 8 mm 210 Cm</t>
        </is>
      </c>
      <c r="C104" s="192" t="n">
        <v>229.35</v>
      </c>
    </row>
    <row r="105">
      <c r="A105" t="inlineStr">
        <is>
          <t>151.09.0040</t>
        </is>
      </c>
      <c r="B105" t="inlineStr">
        <is>
          <t xml:space="preserve">Pvc Mdf Düz Pervaz 16*3,5 cm 8 mm 210 Cm </t>
        </is>
      </c>
      <c r="C105" s="192" t="n">
        <v>420.25</v>
      </c>
    </row>
    <row r="106">
      <c r="A106" t="inlineStr">
        <is>
          <t>151.09.0094</t>
        </is>
      </c>
      <c r="B106" t="inlineStr">
        <is>
          <t xml:space="preserve"> Pvc Mdf Düz Pervaz 9*5 cm 10 mm 220 Cm</t>
        </is>
      </c>
      <c r="C106" s="192" t="n">
        <v>291.23</v>
      </c>
    </row>
    <row r="107">
      <c r="A107" t="inlineStr">
        <is>
          <t>151.09.0102</t>
        </is>
      </c>
      <c r="B107" t="inlineStr">
        <is>
          <t>Pvc Düz Pervaz 10*3,5 cm 8mm 220 cm</t>
        </is>
      </c>
      <c r="C107" s="192" t="n">
        <v>581.11</v>
      </c>
    </row>
    <row r="108">
      <c r="A108" t="inlineStr">
        <is>
          <t>151.09.0104</t>
        </is>
      </c>
      <c r="B108" t="inlineStr">
        <is>
          <t xml:space="preserve">Pvc Mdf Düz Pervaz 9*4,5 cm 10 mm 220 Cm </t>
        </is>
      </c>
      <c r="C108" s="192" t="n">
        <v>305.36</v>
      </c>
    </row>
    <row r="109">
      <c r="A109" t="inlineStr">
        <is>
          <t>151.09.0334</t>
        </is>
      </c>
      <c r="B109" t="inlineStr">
        <is>
          <t xml:space="preserve">Pvc Motifli Pervaz-2- 3,5 220 Cm </t>
        </is>
      </c>
      <c r="C109" s="192" t="n">
        <v>416.08</v>
      </c>
    </row>
    <row r="110">
      <c r="A110" t="inlineStr">
        <is>
          <t>151.09.0342</t>
        </is>
      </c>
      <c r="B110" t="inlineStr">
        <is>
          <t>Pvc Mdf Düz Pervaz 10*3,5 cm 18 mm 220 Cm</t>
        </is>
      </c>
      <c r="C110" s="192" t="n">
        <v>391.96</v>
      </c>
    </row>
    <row r="111">
      <c r="A111" t="inlineStr">
        <is>
          <t>151.09.0382</t>
        </is>
      </c>
      <c r="B111" t="inlineStr">
        <is>
          <t>Pvc  Mdf Süpürgelik 9 cm 10 mm 280 mm</t>
        </is>
      </c>
      <c r="C111" s="192" t="n">
        <v>244.16</v>
      </c>
    </row>
    <row r="112">
      <c r="A112" t="inlineStr">
        <is>
          <t>151.09.0402</t>
        </is>
      </c>
      <c r="B112" t="inlineStr">
        <is>
          <t>PVC.Kap.Düz.Plastik Pervaz 9*4,50 Cm  220 Cm</t>
        </is>
      </c>
      <c r="C112" s="192" t="n">
        <v>333.7</v>
      </c>
    </row>
    <row r="113">
      <c r="A113" t="inlineStr">
        <is>
          <t>151.09.0408</t>
        </is>
      </c>
      <c r="B113" t="inlineStr">
        <is>
          <t>Pvc Kap.Plastik Düz Pervaz 9*7,5 cm 220 cm</t>
        </is>
      </c>
      <c r="C113" s="192" t="n">
        <v>377.76</v>
      </c>
    </row>
    <row r="114">
      <c r="A114" t="inlineStr">
        <is>
          <t>151.11.0002</t>
        </is>
      </c>
      <c r="B114" t="inlineStr">
        <is>
          <t>Pvc Mdf Cam Çıtası 22 mm 2,2*280 cm</t>
        </is>
      </c>
      <c r="C114" s="192" t="n">
        <v>175.03</v>
      </c>
    </row>
    <row r="115">
      <c r="A115" t="inlineStr">
        <is>
          <t>151.11.0004</t>
        </is>
      </c>
      <c r="B115" t="inlineStr">
        <is>
          <t>Ham Mdf Cam Çıtası 22 mm 2,2*280 cm</t>
        </is>
      </c>
      <c r="C115" s="192" t="n">
        <v>112.08</v>
      </c>
    </row>
    <row r="116">
      <c r="A116" t="inlineStr">
        <is>
          <t>151.11.0006</t>
        </is>
      </c>
      <c r="B116" t="inlineStr">
        <is>
          <t>Ham Mdf Dekoratif Damaksız (Özel-2) 10 mm 5*280 cm</t>
        </is>
      </c>
      <c r="C116" s="192" t="n">
        <v>99.43000000000001</v>
      </c>
    </row>
    <row r="117">
      <c r="A117" t="inlineStr">
        <is>
          <t>151.11.0011</t>
        </is>
      </c>
      <c r="B117" t="inlineStr">
        <is>
          <t>Pvc Mdf Karolaj Çıtası 10 mm 3*280 cm</t>
        </is>
      </c>
      <c r="C117" s="192" t="n">
        <v>131.62</v>
      </c>
    </row>
  </sheetData>
  <pageMargins left="0.7" right="0.7" top="0.75" bottom="0.75" header="0.3" footer="0.3"/>
  <pageSetup orientation="portrait" paperSize="9"/>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2015-06-05T18:19:34Z</dcterms:created>
  <dcterms:modified xmlns:dcterms="http://purl.org/dc/terms/" xmlns:xsi="http://www.w3.org/2001/XMLSchema-instance" xsi:type="dcterms:W3CDTF">2026-04-12T23:59:19Z</dcterms:modified>
</cp:coreProperties>
</file>