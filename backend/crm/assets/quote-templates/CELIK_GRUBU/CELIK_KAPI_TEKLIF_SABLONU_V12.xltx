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CelikKapiGrubu" sheetId="2" state="visible" r:id="rId2"/>
  </sheets>
  <definedNames>
    <definedName name="_xlnm.Print_Area" localSheetId="0">'1'!$A$1:$M$97</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8">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
      <name val="Times New Roman"/>
      <charset val="162"/>
      <family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4">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22" fillId="0" borderId="0" applyAlignment="1" pivotButton="0" quotePrefix="0" xfId="0">
      <alignment horizontal="left"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25" fillId="0" borderId="21" applyAlignment="1" pivotButton="0" quotePrefix="0" xfId="0">
      <alignment horizontal="center"/>
    </xf>
    <xf numFmtId="0" fontId="25"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5" fillId="0" borderId="14" applyAlignment="1" applyProtection="1" pivotButton="0" quotePrefix="0" xfId="0">
      <alignment horizontal="center" vertical="center"/>
      <protection locked="0" hidden="0"/>
    </xf>
    <xf numFmtId="0" fontId="0" fillId="0" borderId="0" applyAlignment="1" pivotButton="0" quotePrefix="0" xfId="0">
      <alignment horizontal="center"/>
    </xf>
    <xf numFmtId="0" fontId="26" fillId="0" borderId="0" applyAlignment="1" pivotButton="0" quotePrefix="0" xfId="0">
      <alignment horizontal="left"/>
    </xf>
    <xf numFmtId="0" fontId="18"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27" fillId="0" borderId="0" pivotButton="0" quotePrefix="0" xfId="0"/>
    <xf numFmtId="0" fontId="27" fillId="0" borderId="0" applyProtection="1" pivotButton="0" quotePrefix="0" xfId="0">
      <protection locked="0" hidden="0"/>
    </xf>
    <xf numFmtId="0" fontId="23" fillId="0" borderId="0" applyAlignment="1" applyProtection="1" pivotButton="0" quotePrefix="0" xfId="0">
      <alignment horizontal="left"/>
      <protection locked="0" hidden="0"/>
    </xf>
    <xf numFmtId="0" fontId="4" fillId="0" borderId="0" pivotButton="0" quotePrefix="0" xfId="0"/>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92</row>
      <rowOff>108857</rowOff>
    </from>
    <to>
      <col>12</col>
      <colOff>40822</colOff>
      <row>96</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30275893"/>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1673679</colOff>
      <row>50</row>
      <rowOff>37402</rowOff>
    </from>
    <to>
      <col>11</col>
      <colOff>54429</colOff>
      <row>52</row>
      <rowOff>338537</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177393" y="15277402"/>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54</row>
      <rowOff>108858</rowOff>
    </from>
    <to>
      <col>3</col>
      <colOff>688361</colOff>
      <row>59</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54</row>
      <rowOff>149678</rowOff>
    </from>
    <to>
      <col>12</col>
      <colOff>2213814</colOff>
      <row>59</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86"/>
  <sheetViews>
    <sheetView tabSelected="1" zoomScale="70" zoomScaleNormal="70" zoomScaleSheetLayoutView="70" workbookViewId="0">
      <selection activeCell="D23" sqref="D23:M23"/>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68" t="inlineStr">
        <is>
          <t>TEKLİF</t>
        </is>
      </c>
      <c r="M12" s="136" t="n"/>
    </row>
    <row r="13" ht="26.25" customHeight="1" s="28" thickBot="1">
      <c r="M13" s="59" t="n"/>
    </row>
    <row r="14" ht="26.25" customHeight="1" s="28" thickBot="1">
      <c r="L14" s="23" t="inlineStr">
        <is>
          <t>TARİH</t>
        </is>
      </c>
      <c r="M14" s="137">
        <f>TODAY()</f>
        <v/>
      </c>
    </row>
    <row r="15" ht="27" customHeight="1" s="28" thickBot="1">
      <c r="B15" s="69" t="inlineStr">
        <is>
          <t xml:space="preserve">TARAFLAR </t>
        </is>
      </c>
      <c r="C15" s="23" t="inlineStr">
        <is>
          <t>SATIŞ ŞİRKETİ</t>
        </is>
      </c>
      <c r="D15" s="138" t="n"/>
      <c r="E15" s="138" t="n"/>
      <c r="F15" s="138" t="n"/>
      <c r="G15" s="138" t="n"/>
      <c r="H15" s="138" t="n"/>
      <c r="I15" s="138" t="n"/>
      <c r="J15" s="138" t="n"/>
      <c r="K15" s="138" t="n"/>
      <c r="L15" s="138" t="n"/>
      <c r="M15" s="139" t="n"/>
    </row>
    <row r="16" ht="27" customHeight="1" s="28">
      <c r="B16" s="1" t="n"/>
      <c r="C16" s="140" t="inlineStr">
        <is>
          <t>ORTKA YAPI ELEMANLARI ÜRETİM SAN.LTD.ŞTİ</t>
        </is>
      </c>
      <c r="D16" s="141" t="n"/>
      <c r="E16" s="23" t="n"/>
      <c r="F16" s="142" t="n"/>
      <c r="G16" s="142" t="n"/>
      <c r="H16" s="142" t="n"/>
      <c r="I16" s="142" t="n"/>
      <c r="J16" s="143" t="n"/>
      <c r="K16" s="140" t="inlineStr">
        <is>
          <t>AYKA KAPI SANAYİ TİCARET ANONİM ŞİRKETİ</t>
        </is>
      </c>
      <c r="L16" s="144" t="n"/>
      <c r="M16" s="141" t="n"/>
    </row>
    <row r="17" ht="27" customHeight="1" s="28">
      <c r="B17" s="1" t="n"/>
      <c r="C17" s="145" t="inlineStr">
        <is>
          <t>VERGİ DAİRESİ : BEYDAĞI</t>
        </is>
      </c>
      <c r="D17" s="146" t="n"/>
      <c r="E17" s="147" t="n"/>
      <c r="J17" s="136" t="n"/>
      <c r="K17" s="145" t="inlineStr">
        <is>
          <t>VERGİ DAİRESİ : BEYDAĞI</t>
        </is>
      </c>
      <c r="L17" s="1" t="n"/>
      <c r="M17" s="146" t="n"/>
    </row>
    <row r="18" ht="27" customHeight="1" s="28">
      <c r="B18" s="1" t="n"/>
      <c r="C18" s="145" t="inlineStr">
        <is>
          <t>VERGİ NO: 6480365207</t>
        </is>
      </c>
      <c r="D18" s="146" t="n"/>
      <c r="E18" s="147" t="n"/>
      <c r="J18" s="136" t="n"/>
      <c r="K18" s="145" t="inlineStr">
        <is>
          <t>VERGİ NO: 1210461108</t>
        </is>
      </c>
      <c r="L18" s="1" t="n"/>
      <c r="M18" s="146" t="n"/>
    </row>
    <row r="19" ht="27" customHeight="1" s="28" thickBot="1">
      <c r="B19" s="1" t="n"/>
      <c r="C19" s="148" t="inlineStr">
        <is>
          <t>MAİL/TEL: muhasebe@aykakapi.com.tr / 444 0 932</t>
        </is>
      </c>
      <c r="D19" s="149" t="n"/>
      <c r="E19" s="150" t="n"/>
      <c r="F19" s="151" t="n"/>
      <c r="G19" s="151" t="n"/>
      <c r="H19" s="151" t="n"/>
      <c r="I19" s="151" t="n"/>
      <c r="J19" s="152" t="n"/>
      <c r="K19" s="148" t="inlineStr">
        <is>
          <t>MAİL/TEL: muhasebe@aykakapi.com.tr / 444 0 932</t>
        </is>
      </c>
      <c r="L19" s="153" t="n"/>
      <c r="M19" s="149" t="n"/>
    </row>
    <row r="20" ht="27" customHeight="1" s="28">
      <c r="B20" s="1" t="n"/>
      <c r="C20" s="122" t="n"/>
      <c r="D20" s="144" t="n"/>
      <c r="E20" s="144" t="n"/>
      <c r="F20" s="144" t="n"/>
      <c r="G20" s="144" t="n"/>
      <c r="H20" s="144" t="n"/>
      <c r="I20" s="144" t="n"/>
      <c r="J20" s="144" t="n"/>
      <c r="K20" s="144" t="n"/>
      <c r="L20" s="144" t="n"/>
      <c r="M20" s="144" t="n"/>
    </row>
    <row r="21" ht="27" customHeight="1" s="28" thickBot="1">
      <c r="B21" s="1" t="n"/>
      <c r="C21" s="153" t="n"/>
      <c r="D21" s="153" t="n"/>
      <c r="E21" s="153" t="n"/>
      <c r="F21" s="153" t="n"/>
      <c r="G21" s="153" t="n"/>
      <c r="H21" s="153" t="n"/>
      <c r="I21" s="153" t="n"/>
      <c r="J21" s="153" t="n"/>
      <c r="K21" s="153" t="n"/>
      <c r="L21" s="153" t="n"/>
      <c r="M21" s="153" t="n"/>
    </row>
    <row r="22" ht="27" customHeight="1" s="28" thickBot="1">
      <c r="B22" s="1" t="n"/>
      <c r="C22" s="23" t="inlineStr">
        <is>
          <t>ALICI BİLGİLERİ</t>
        </is>
      </c>
      <c r="D22" s="138" t="n"/>
      <c r="E22" s="138" t="n"/>
      <c r="F22" s="138" t="n"/>
      <c r="G22" s="138" t="n"/>
      <c r="H22" s="138" t="n"/>
      <c r="I22" s="138" t="n"/>
      <c r="J22" s="138" t="n"/>
      <c r="K22" s="138" t="n"/>
      <c r="L22" s="138" t="n"/>
      <c r="M22" s="139" t="n"/>
    </row>
    <row r="23" ht="27" customHeight="1" s="28" thickBot="1">
      <c r="B23" s="1" t="n"/>
      <c r="C23" s="23" t="inlineStr">
        <is>
          <t>CARİ ÜNVANI</t>
        </is>
      </c>
      <c r="D23" s="154" t="inlineStr"/>
      <c r="E23" s="144" t="n"/>
      <c r="F23" s="144" t="n"/>
      <c r="G23" s="144" t="n"/>
      <c r="H23" s="144" t="n"/>
      <c r="I23" s="144" t="n"/>
      <c r="J23" s="144" t="n"/>
      <c r="K23" s="144" t="n"/>
      <c r="L23" s="144" t="n"/>
      <c r="M23" s="141" t="n"/>
    </row>
    <row r="24" ht="27" customHeight="1" s="28" thickBot="1">
      <c r="B24" s="1" t="n"/>
      <c r="C24" s="60" t="inlineStr">
        <is>
          <t>VERGİ DAİRESİ / NO</t>
        </is>
      </c>
      <c r="D24" s="155" t="inlineStr"/>
      <c r="E24" s="1" t="n"/>
      <c r="F24" s="1" t="n"/>
      <c r="G24" s="1" t="n"/>
      <c r="H24" s="1" t="n"/>
      <c r="I24" s="1" t="n"/>
      <c r="J24" s="1" t="n"/>
      <c r="K24" s="1" t="n"/>
      <c r="L24" s="1" t="n"/>
      <c r="M24" s="146" t="n"/>
    </row>
    <row r="25" ht="27" customHeight="1" s="28" thickBot="1">
      <c r="B25" s="1" t="n"/>
      <c r="C25" s="23" t="inlineStr">
        <is>
          <t>ADRES</t>
        </is>
      </c>
      <c r="D25" s="156" t="inlineStr"/>
      <c r="E25" s="1" t="n"/>
      <c r="F25" s="1" t="n"/>
      <c r="G25" s="1" t="n"/>
      <c r="H25" s="1" t="n"/>
      <c r="I25" s="1" t="n"/>
      <c r="J25" s="1" t="n"/>
      <c r="K25" s="1" t="n"/>
      <c r="L25" s="1" t="n"/>
      <c r="M25" s="146" t="n"/>
    </row>
    <row r="26" ht="27" customHeight="1" s="28" thickBot="1">
      <c r="B26" s="1" t="n"/>
      <c r="C26" s="61" t="inlineStr">
        <is>
          <t>YETKİLİ</t>
        </is>
      </c>
      <c r="D26" s="155" t="inlineStr"/>
      <c r="E26" s="1" t="n"/>
      <c r="F26" s="1" t="n"/>
      <c r="G26" s="1" t="n"/>
      <c r="H26" s="1" t="n"/>
      <c r="I26" s="1" t="n"/>
      <c r="J26" s="1" t="n"/>
      <c r="K26" s="1" t="n"/>
      <c r="L26" s="1" t="n"/>
      <c r="M26" s="146" t="n"/>
    </row>
    <row r="27" ht="27" customHeight="1" s="28" thickBot="1">
      <c r="B27" s="1" t="n"/>
      <c r="C27" s="23" t="inlineStr">
        <is>
          <t>TELEFON/MAİL</t>
        </is>
      </c>
      <c r="D27" s="157" t="inlineStr"/>
      <c r="E27" s="153" t="n"/>
      <c r="F27" s="153" t="n"/>
      <c r="G27" s="153" t="n"/>
      <c r="H27" s="153" t="n"/>
      <c r="I27" s="153" t="n"/>
      <c r="J27" s="153" t="n"/>
      <c r="K27" s="153" t="n"/>
      <c r="L27" s="153" t="n"/>
      <c r="M27" s="149" t="n"/>
    </row>
    <row r="28" ht="27" customHeight="1" s="28" thickBot="1">
      <c r="B28" s="69" t="n"/>
      <c r="C28" s="122" t="n"/>
      <c r="D28" s="158" t="n"/>
      <c r="E28" s="158" t="n"/>
      <c r="F28" s="158" t="n"/>
      <c r="G28" s="158" t="n"/>
      <c r="H28" s="158" t="n"/>
      <c r="I28" s="158" t="n"/>
      <c r="J28" s="158" t="n"/>
      <c r="K28" s="158" t="n"/>
      <c r="L28" s="158" t="n"/>
      <c r="M28" s="158" t="n"/>
    </row>
    <row r="29" ht="27" customHeight="1" s="28" thickBot="1">
      <c r="B29" s="2" t="n"/>
      <c r="C29" s="23" t="inlineStr">
        <is>
          <t xml:space="preserve">SATIŞ TEMSİLCİSİ BİLGİ ALANI </t>
        </is>
      </c>
      <c r="D29" s="138" t="n"/>
      <c r="E29" s="138" t="n"/>
      <c r="F29" s="138" t="n"/>
      <c r="G29" s="138" t="n"/>
      <c r="H29" s="138" t="n"/>
      <c r="I29" s="138" t="n"/>
      <c r="J29" s="138" t="n"/>
      <c r="K29" s="138" t="n"/>
      <c r="L29" s="138" t="n"/>
      <c r="M29" s="139" t="n"/>
    </row>
    <row r="30" ht="27" customHeight="1" s="28" thickBot="1">
      <c r="B30" s="2" t="n"/>
      <c r="C30" s="70" t="inlineStr">
        <is>
          <t xml:space="preserve">TEKLİF NUMARASI </t>
        </is>
      </c>
      <c r="D30" s="159" t="inlineStr"/>
      <c r="E30" s="160" t="n"/>
      <c r="F30" s="160" t="n"/>
      <c r="G30" s="160" t="n"/>
      <c r="H30" s="160" t="n"/>
      <c r="I30" s="160" t="n"/>
      <c r="J30" s="160" t="n"/>
      <c r="K30" s="160" t="n"/>
      <c r="L30" s="160" t="n"/>
      <c r="M30" s="161" t="n"/>
    </row>
    <row r="31" ht="27" customHeight="1" s="28" thickBot="1">
      <c r="B31" s="2" t="n"/>
      <c r="C31" s="70"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104"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70" t="inlineStr">
        <is>
          <t xml:space="preserve"> F.LİSTESİ</t>
        </is>
      </c>
      <c r="D33" s="167" t="inlineStr"/>
      <c r="E33" s="168" t="n"/>
      <c r="F33" s="168" t="n"/>
      <c r="G33" s="168" t="n"/>
      <c r="H33" s="168" t="n"/>
      <c r="I33" s="168" t="n"/>
      <c r="J33" s="168" t="n"/>
      <c r="K33" s="168" t="n"/>
      <c r="L33" s="168" t="n"/>
      <c r="M33" s="169" t="n"/>
    </row>
    <row r="34" ht="27" customHeight="1" s="28">
      <c r="B34" s="2" t="n"/>
      <c r="C34" s="75" t="n"/>
      <c r="D34" s="144" t="n"/>
      <c r="E34" s="144" t="n"/>
      <c r="F34" s="144" t="n"/>
      <c r="G34" s="144" t="n"/>
      <c r="H34" s="144" t="n"/>
      <c r="I34" s="144" t="n"/>
      <c r="J34" s="144" t="n"/>
      <c r="K34" s="144" t="n"/>
      <c r="L34" s="144" t="n"/>
      <c r="M34" s="144" t="n"/>
    </row>
    <row r="35">
      <c r="C35" s="1" t="n"/>
      <c r="D35" s="1" t="n"/>
      <c r="E35" s="1" t="n"/>
      <c r="F35" s="1" t="n"/>
      <c r="G35" s="1" t="n"/>
      <c r="H35" s="1" t="n"/>
      <c r="I35" s="1" t="n"/>
      <c r="J35" s="1" t="n"/>
      <c r="K35" s="1" t="n"/>
      <c r="L35" s="1" t="n"/>
      <c r="M35" s="1" t="n"/>
    </row>
    <row r="36" ht="27" customHeight="1" s="28">
      <c r="C36" s="83" t="inlineStr">
        <is>
          <t>ÇELİK KAPI</t>
        </is>
      </c>
      <c r="M36" s="136"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7" t="inlineStr"/>
      <c r="E38" s="20" t="inlineStr"/>
      <c r="F38" s="10" t="inlineStr"/>
      <c r="G38" s="20" t="inlineStr"/>
      <c r="H38" s="170" t="inlineStr"/>
      <c r="I38" s="20" t="inlineStr"/>
      <c r="J38" s="20" t="inlineStr"/>
      <c r="K38" s="25" t="inlineStr"/>
      <c r="L38" s="171" t="inlineStr"/>
      <c r="M38" s="172" t="inlineStr"/>
    </row>
    <row r="39" ht="27" customHeight="1" s="28">
      <c r="C39" s="10" t="inlineStr"/>
      <c r="D39" s="37" t="inlineStr"/>
      <c r="E39" s="20" t="inlineStr"/>
      <c r="F39" s="10" t="inlineStr"/>
      <c r="G39" s="20" t="inlineStr"/>
      <c r="H39" s="170" t="inlineStr"/>
      <c r="I39" s="20" t="inlineStr"/>
      <c r="J39" s="20" t="inlineStr"/>
      <c r="K39" s="25" t="inlineStr"/>
      <c r="L39" s="171" t="inlineStr"/>
      <c r="M39" s="172" t="inlineStr"/>
    </row>
    <row r="40" ht="27" customHeight="1" s="28">
      <c r="C40" s="10" t="inlineStr"/>
      <c r="D40" s="37" t="inlineStr"/>
      <c r="E40" s="20" t="inlineStr"/>
      <c r="F40" s="10" t="inlineStr"/>
      <c r="G40" s="20" t="inlineStr"/>
      <c r="H40" s="170" t="inlineStr"/>
      <c r="I40" s="20" t="inlineStr"/>
      <c r="J40" s="20" t="inlineStr"/>
      <c r="K40" s="25" t="inlineStr"/>
      <c r="L40" s="171" t="inlineStr"/>
      <c r="M40" s="172" t="inlineStr"/>
    </row>
    <row r="41" ht="27" customHeight="1" s="28">
      <c r="C41" s="10" t="inlineStr"/>
      <c r="D41" s="37" t="inlineStr"/>
      <c r="E41" s="20" t="inlineStr"/>
      <c r="F41" s="10" t="inlineStr"/>
      <c r="G41" s="20" t="inlineStr"/>
      <c r="H41" s="170" t="inlineStr"/>
      <c r="I41" s="20" t="inlineStr"/>
      <c r="J41" s="20" t="inlineStr"/>
      <c r="K41" s="25" t="inlineStr"/>
      <c r="L41" s="171" t="inlineStr"/>
      <c r="M41" s="172" t="inlineStr"/>
    </row>
    <row r="42" ht="27" customHeight="1" s="28">
      <c r="C42" s="12" t="inlineStr"/>
      <c r="D42" s="37" t="inlineStr"/>
      <c r="E42" s="20" t="inlineStr"/>
      <c r="F42" s="13" t="inlineStr"/>
      <c r="G42" s="20" t="inlineStr"/>
      <c r="H42" s="170" t="inlineStr"/>
      <c r="I42" s="20" t="inlineStr"/>
      <c r="J42" s="20" t="inlineStr"/>
      <c r="K42" s="25" t="inlineStr"/>
      <c r="L42" s="171" t="inlineStr"/>
      <c r="M42" s="172" t="inlineStr"/>
    </row>
    <row r="43" ht="27" customHeight="1" s="28">
      <c r="C43" s="165" t="inlineStr"/>
      <c r="D43" s="173" t="inlineStr"/>
      <c r="E43" s="173" t="inlineStr"/>
      <c r="F43" s="173" t="inlineStr"/>
      <c r="G43" s="174" t="inlineStr"/>
      <c r="H43" s="174" t="inlineStr"/>
      <c r="I43" s="174" t="inlineStr"/>
      <c r="J43" s="174" t="inlineStr"/>
      <c r="K43" s="175" t="inlineStr"/>
      <c r="L43" s="19" t="inlineStr"/>
      <c r="M43" s="176" t="inlineStr"/>
    </row>
    <row r="44" ht="27" customHeight="1" s="28">
      <c r="C44" s="177" t="inlineStr"/>
      <c r="D44" s="173" t="inlineStr"/>
      <c r="E44" s="173" t="inlineStr"/>
      <c r="F44" s="173" t="inlineStr"/>
      <c r="G44" s="173" t="inlineStr"/>
      <c r="H44" s="173" t="inlineStr"/>
      <c r="I44" s="173" t="inlineStr"/>
      <c r="J44" s="173" t="inlineStr"/>
      <c r="K44" s="175" t="inlineStr"/>
      <c r="L44" s="19" t="inlineStr"/>
      <c r="M44" s="178" t="inlineStr"/>
    </row>
    <row r="45" ht="27" customHeight="1" s="28">
      <c r="C45" s="179" t="inlineStr"/>
      <c r="D45" s="180" t="inlineStr"/>
      <c r="E45" s="180" t="inlineStr"/>
      <c r="F45" s="180" t="inlineStr"/>
      <c r="G45" s="180" t="inlineStr"/>
      <c r="H45" s="180" t="inlineStr"/>
      <c r="I45" s="180" t="inlineStr"/>
      <c r="J45" s="180" t="inlineStr"/>
      <c r="K45" s="181" t="inlineStr"/>
      <c r="L45" s="19" t="inlineStr"/>
      <c r="M45" s="176" t="inlineStr"/>
    </row>
    <row r="46" ht="27" customHeight="1" s="28">
      <c r="C46" s="18" t="inlineStr">
        <is>
          <t>* Monoblok Sistem Daf Kilit</t>
        </is>
      </c>
      <c r="D46" s="57" t="n"/>
      <c r="E46" s="57" t="n"/>
      <c r="F46" s="57" t="n"/>
      <c r="G46" s="57" t="n"/>
      <c r="H46" s="57" t="n"/>
      <c r="I46" s="57" t="n"/>
      <c r="J46" s="57" t="n"/>
      <c r="K46" s="135" t="n"/>
      <c r="L46" s="31" t="n"/>
      <c r="M46" s="182" t="n"/>
    </row>
    <row r="47" ht="27" customHeight="1" s="28">
      <c r="C47" s="18" t="inlineStr">
        <is>
          <t>* Yüzey 10 mm Pvc Kaplama</t>
        </is>
      </c>
      <c r="D47" s="57" t="n"/>
      <c r="E47" s="57" t="n"/>
      <c r="F47" s="57" t="n"/>
      <c r="G47" s="57" t="n"/>
      <c r="H47" s="57" t="n"/>
      <c r="I47" s="57" t="n"/>
      <c r="J47" s="57" t="n"/>
      <c r="K47" s="57" t="n"/>
      <c r="L47" s="15" t="n"/>
      <c r="M47" s="183" t="n"/>
    </row>
    <row r="48" ht="27" customHeight="1" s="28">
      <c r="C48" s="18" t="inlineStr">
        <is>
          <t>* TSE 12655 belgeli</t>
        </is>
      </c>
      <c r="D48" s="57" t="n"/>
      <c r="E48" s="57" t="n"/>
      <c r="F48" s="57" t="n"/>
      <c r="G48" s="57" t="n"/>
      <c r="H48" s="57" t="n"/>
      <c r="I48" s="57" t="n"/>
      <c r="J48" s="57" t="n"/>
      <c r="K48" s="57" t="n"/>
      <c r="L48" s="15" t="n"/>
      <c r="M48" s="183" t="n"/>
    </row>
    <row r="49" ht="27" customHeight="1" s="28">
      <c r="C49" s="57" t="n"/>
      <c r="D49" s="57" t="n"/>
      <c r="E49" s="57" t="n"/>
      <c r="F49" s="57" t="n"/>
      <c r="G49" s="57" t="n"/>
      <c r="H49" s="57" t="n"/>
      <c r="I49" s="57" t="n"/>
      <c r="J49" s="57" t="n"/>
      <c r="K49" s="57" t="n"/>
      <c r="L49" s="15" t="n"/>
      <c r="M49" s="183" t="n"/>
    </row>
    <row r="50" ht="27" customHeight="1" s="28">
      <c r="C50" s="135" t="n"/>
      <c r="D50" s="135" t="n"/>
      <c r="E50" s="135" t="n"/>
      <c r="F50" s="135" t="n"/>
      <c r="G50" s="135" t="n"/>
      <c r="H50" s="135" t="n"/>
      <c r="I50" s="135" t="n"/>
      <c r="J50" s="135" t="n"/>
      <c r="K50" s="135" t="n"/>
      <c r="L50" s="135" t="n"/>
      <c r="M50" s="135" t="n"/>
    </row>
    <row r="51" ht="27" customHeight="1" s="28">
      <c r="C51" s="135" t="n"/>
      <c r="D51" s="135" t="n"/>
      <c r="E51" s="135" t="n"/>
      <c r="F51" s="135" t="n"/>
      <c r="G51" s="135" t="n"/>
      <c r="H51" s="135" t="n"/>
      <c r="I51" s="135" t="n"/>
      <c r="J51" s="135" t="n"/>
      <c r="K51" s="135" t="n"/>
      <c r="L51" s="135" t="n"/>
      <c r="M51" s="135" t="n"/>
    </row>
    <row r="52" ht="27" customHeight="1" s="28">
      <c r="C52" s="135" t="n"/>
      <c r="D52" s="135" t="n"/>
      <c r="E52" s="135" t="n"/>
      <c r="F52" s="135" t="n"/>
      <c r="G52" s="135" t="n"/>
      <c r="H52" s="135" t="n"/>
      <c r="I52" s="135" t="n"/>
      <c r="J52" s="135" t="n"/>
      <c r="K52" s="135" t="n"/>
      <c r="L52" s="135" t="n"/>
      <c r="M52" s="135" t="n"/>
    </row>
    <row r="53" ht="27" customHeight="1" s="28">
      <c r="C53" s="135" t="n"/>
      <c r="D53" s="135" t="n"/>
      <c r="E53" s="135" t="n"/>
      <c r="F53" s="135" t="n"/>
      <c r="G53" s="135" t="n"/>
      <c r="H53" s="135" t="n"/>
      <c r="I53" s="135" t="n"/>
      <c r="J53" s="135" t="n"/>
      <c r="K53" s="135" t="n"/>
      <c r="L53" s="135" t="n"/>
      <c r="M53" s="135" t="n"/>
    </row>
    <row r="54" ht="27" customHeight="1" s="28">
      <c r="C54" s="135" t="n"/>
      <c r="D54" s="135" t="n"/>
      <c r="E54" s="135" t="n"/>
      <c r="F54" s="135" t="n"/>
      <c r="G54" s="135" t="n"/>
      <c r="H54" s="135" t="n"/>
      <c r="I54" s="135" t="n"/>
      <c r="J54" s="135" t="n"/>
      <c r="K54" s="135" t="n"/>
      <c r="L54" s="135" t="n"/>
      <c r="M54" s="135" t="n"/>
    </row>
    <row r="55" ht="27" customHeight="1" s="28">
      <c r="C55" s="135" t="n"/>
      <c r="D55" s="135" t="n"/>
      <c r="E55" s="135" t="n"/>
      <c r="F55" s="135" t="n"/>
      <c r="G55" s="135" t="n"/>
      <c r="H55" s="135" t="n"/>
      <c r="I55" s="135" t="n"/>
      <c r="J55" s="135" t="n"/>
      <c r="K55" s="135" t="n"/>
      <c r="L55" s="31" t="n"/>
      <c r="M55" s="182" t="n"/>
    </row>
    <row r="56" ht="27" customHeight="1" s="28">
      <c r="C56" s="135" t="n"/>
      <c r="D56" s="135" t="n"/>
      <c r="E56" s="135" t="n"/>
      <c r="F56" s="135" t="n"/>
      <c r="G56" s="135" t="n"/>
      <c r="H56" s="135" t="n"/>
      <c r="I56" s="135" t="n"/>
      <c r="J56" s="135" t="n"/>
      <c r="K56" s="135" t="n"/>
      <c r="L56" s="31" t="n"/>
      <c r="M56" s="182" t="n"/>
    </row>
    <row r="57" ht="27" customHeight="1" s="28">
      <c r="C57" s="135" t="n"/>
      <c r="D57" s="135" t="n"/>
      <c r="E57" s="135" t="n"/>
      <c r="F57" s="135" t="n"/>
      <c r="G57" s="135" t="n"/>
      <c r="H57" s="135" t="n"/>
      <c r="I57" s="135" t="n"/>
      <c r="J57" s="135" t="n"/>
      <c r="K57" s="135" t="n"/>
      <c r="L57" s="31" t="n"/>
      <c r="M57" s="182" t="n"/>
    </row>
    <row r="58" ht="27" customHeight="1" s="28">
      <c r="C58" s="135" t="n"/>
      <c r="D58" s="135" t="n"/>
      <c r="E58" s="135" t="n"/>
      <c r="F58" s="135" t="n"/>
      <c r="G58" s="135" t="n"/>
      <c r="H58" s="135" t="n"/>
      <c r="I58" s="135" t="n"/>
      <c r="J58" s="135" t="n"/>
      <c r="K58" s="135" t="n"/>
      <c r="L58" s="31" t="n"/>
      <c r="M58" s="182" t="n"/>
    </row>
    <row r="59" ht="27" customHeight="1" s="28">
      <c r="C59" s="135" t="n"/>
      <c r="D59" s="135" t="n"/>
      <c r="E59" s="135" t="n"/>
      <c r="F59" s="135" t="n"/>
      <c r="G59" s="135" t="n"/>
      <c r="H59" s="135" t="n"/>
      <c r="I59" s="135" t="n"/>
      <c r="J59" s="135" t="n"/>
      <c r="K59" s="135" t="n"/>
      <c r="L59" s="31" t="n"/>
      <c r="M59" s="182" t="n"/>
    </row>
    <row r="60" ht="27" customHeight="1" s="28" thickBot="1">
      <c r="C60" s="135" t="n"/>
      <c r="D60" s="135" t="n"/>
      <c r="E60" s="135" t="n"/>
      <c r="F60" s="135" t="n"/>
      <c r="G60" s="135" t="n"/>
      <c r="H60" s="135" t="n"/>
      <c r="I60" s="135" t="n"/>
      <c r="J60" s="135" t="n"/>
      <c r="K60" s="135" t="n"/>
      <c r="L60" s="31" t="n"/>
      <c r="M60" s="182" t="n"/>
    </row>
    <row r="61" ht="27" customHeight="1" s="28" thickBot="1">
      <c r="C61" s="184" t="inlineStr"/>
      <c r="D61" s="139" t="n"/>
      <c r="E61" s="57" t="n"/>
      <c r="F61" s="57" t="n"/>
      <c r="G61" s="57" t="n"/>
      <c r="H61" s="57" t="n"/>
      <c r="I61" s="57" t="n"/>
      <c r="J61" s="184" t="inlineStr">
        <is>
          <t>YEKÜN İCMAAL</t>
        </is>
      </c>
      <c r="K61" s="138" t="n"/>
      <c r="L61" s="139" t="n"/>
      <c r="M61" s="183" t="n"/>
    </row>
    <row r="62" ht="27" customHeight="1" s="28">
      <c r="C62" s="49" t="inlineStr">
        <is>
          <t>Teslim Şekli</t>
        </is>
      </c>
      <c r="D62" s="52" t="inlineStr"/>
      <c r="E62" s="57" t="n"/>
      <c r="F62" s="57" t="n"/>
      <c r="G62" s="57" t="n"/>
      <c r="H62" s="57" t="n"/>
      <c r="I62" s="57" t="n"/>
      <c r="J62" s="185" t="inlineStr">
        <is>
          <t xml:space="preserve">ÇELİK KAPI GRUBU </t>
        </is>
      </c>
      <c r="K62" s="161" t="n"/>
      <c r="L62" s="186">
        <f>M45</f>
        <v/>
      </c>
      <c r="M62" s="183" t="n"/>
    </row>
    <row r="63" ht="27" customHeight="1" s="28" thickBot="1">
      <c r="C63" s="50" t="inlineStr">
        <is>
          <t xml:space="preserve">Ödeme Şekli </t>
        </is>
      </c>
      <c r="D63" s="52" t="inlineStr"/>
      <c r="E63" s="57" t="n"/>
      <c r="F63" s="57" t="n"/>
      <c r="G63" s="57" t="n"/>
      <c r="H63" s="57" t="n"/>
      <c r="I63" s="57" t="n"/>
      <c r="J63" s="187" t="inlineStr">
        <is>
          <t xml:space="preserve">TOPLAM YEKÜN </t>
        </is>
      </c>
      <c r="K63" s="152" t="n"/>
      <c r="L63" s="188">
        <f>L62</f>
        <v/>
      </c>
      <c r="M63" s="183" t="n"/>
    </row>
    <row r="64" ht="27" customHeight="1" s="28">
      <c r="C64" s="50" t="inlineStr">
        <is>
          <t>Teslim Süresi</t>
        </is>
      </c>
      <c r="D64" s="52" t="inlineStr"/>
      <c r="E64" s="57" t="n"/>
      <c r="F64" s="57" t="n"/>
      <c r="G64" s="57" t="n"/>
      <c r="H64" s="57" t="n"/>
      <c r="I64" s="57" t="n"/>
      <c r="J64" s="57" t="n"/>
      <c r="K64" s="57" t="n"/>
      <c r="L64" s="15" t="n"/>
      <c r="M64" s="183" t="n"/>
    </row>
    <row r="65" ht="27" customHeight="1" s="28">
      <c r="C65" s="50" t="inlineStr">
        <is>
          <t>Montaj Hizmeti</t>
        </is>
      </c>
      <c r="D65" s="52" t="inlineStr"/>
      <c r="E65" s="57" t="n"/>
      <c r="F65" s="57" t="n"/>
      <c r="G65" s="57" t="n"/>
      <c r="H65" s="57" t="n"/>
      <c r="I65" s="57" t="n"/>
      <c r="J65" s="57" t="n"/>
      <c r="K65" s="57" t="n"/>
      <c r="L65" s="15" t="n"/>
      <c r="M65" s="183" t="n"/>
    </row>
    <row r="66" ht="27" customHeight="1" s="28">
      <c r="C66" s="50" t="inlineStr">
        <is>
          <t>Nakliye</t>
        </is>
      </c>
      <c r="D66" s="52" t="inlineStr"/>
      <c r="E66" s="57" t="n"/>
      <c r="F66" s="57" t="n"/>
      <c r="G66" s="57" t="n"/>
      <c r="H66" s="57" t="n"/>
      <c r="I66" s="57" t="n"/>
      <c r="J66" s="57" t="n"/>
      <c r="K66" s="57" t="n"/>
      <c r="L66" s="15" t="n"/>
      <c r="M66" s="183" t="n"/>
    </row>
    <row r="67" ht="27" customHeight="1" s="28" thickBot="1">
      <c r="C67" s="51" t="inlineStr">
        <is>
          <t xml:space="preserve">Geçerlilik Süresi </t>
        </is>
      </c>
      <c r="D67" s="53" t="inlineStr"/>
      <c r="E67" s="57" t="n"/>
      <c r="F67" s="57" t="n"/>
      <c r="G67" s="57" t="n"/>
      <c r="H67" s="57" t="n"/>
      <c r="I67" s="57" t="n"/>
      <c r="J67" s="57" t="n"/>
      <c r="K67" s="57" t="n"/>
      <c r="L67" s="15" t="n"/>
      <c r="M67" s="183" t="n"/>
    </row>
    <row r="68" ht="27" customHeight="1" s="28">
      <c r="C68" s="57" t="n"/>
      <c r="D68" s="57" t="n"/>
      <c r="E68" s="57" t="n"/>
      <c r="F68" s="57" t="n"/>
      <c r="G68" s="57" t="n"/>
      <c r="H68" s="57" t="n"/>
      <c r="I68" s="57" t="n"/>
      <c r="J68" s="57" t="n"/>
      <c r="K68" s="57" t="n"/>
      <c r="L68" s="15" t="n"/>
      <c r="M68" s="183" t="n"/>
    </row>
    <row r="69" ht="27" customHeight="1" s="28">
      <c r="C69" s="81"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70" ht="27" customHeight="1" s="28">
      <c r="C70" s="83" t="inlineStr">
        <is>
          <t>GENEL ŞARTLAR &amp;TEKLİF NOTLARI</t>
        </is>
      </c>
      <c r="M70" s="136" t="n"/>
    </row>
    <row r="71" ht="27" customHeight="1" s="28">
      <c r="C71" s="132" t="inlineStr">
        <is>
          <t>1-Belirtilen fiyatlara KDV  hariçtir.</t>
        </is>
      </c>
      <c r="D71" s="58" t="n"/>
      <c r="E71" s="58" t="n"/>
      <c r="F71" s="26" t="n"/>
      <c r="G71" s="135" t="n"/>
      <c r="H71" s="135" t="n"/>
      <c r="I71" s="124" t="inlineStr">
        <is>
          <t xml:space="preserve">TEKLİF NOTLARI </t>
        </is>
      </c>
    </row>
    <row r="72" ht="27" customHeight="1" s="28">
      <c r="C72" s="133" t="inlineStr">
        <is>
          <t>2-İşbu teklif, düzenleme tarihinden itibaren ___ gün geçerlidir.</t>
        </is>
      </c>
      <c r="D72" s="58" t="n"/>
      <c r="E72" s="58" t="n"/>
      <c r="F72" s="26" t="n"/>
      <c r="G72" s="135" t="n"/>
      <c r="H72" s="135" t="n"/>
      <c r="I72" s="134" t="inlineStr">
        <is>
          <t>1- Ölçüler Net ölçü üzerinden değerlendirilmiştir.</t>
        </is>
      </c>
      <c r="J72" s="1" t="n"/>
      <c r="K72" s="1" t="n"/>
      <c r="L72" s="1" t="n"/>
      <c r="M72" s="1" t="n"/>
    </row>
    <row r="73" ht="27" customHeight="1" s="28">
      <c r="C73" s="132" t="inlineStr">
        <is>
          <t>3-Ürün ölçü ve model onayı müşteri tarafından teyit edilmeden üretime başlanmaz.</t>
        </is>
      </c>
      <c r="D73" s="58" t="n"/>
      <c r="E73" s="58" t="n"/>
      <c r="F73" s="26" t="n"/>
      <c r="G73" s="135" t="n"/>
      <c r="H73" s="135" t="n"/>
      <c r="I73" s="134" t="inlineStr">
        <is>
          <t xml:space="preserve">2- Üretim Öncesi Teyit alınacaktır </t>
        </is>
      </c>
      <c r="J73" s="1" t="n"/>
      <c r="K73" s="1" t="n"/>
      <c r="L73" s="1" t="n"/>
      <c r="M73" s="1" t="n"/>
    </row>
    <row r="74" ht="27" customHeight="1" s="28">
      <c r="C74" s="132" t="inlineStr">
        <is>
          <t>4-Ödeme şartları teklif üzerinde belirtilen şekilde uygulanacaktır.</t>
        </is>
      </c>
      <c r="D74" s="58" t="n"/>
      <c r="E74" s="58" t="n"/>
      <c r="F74" s="26" t="n"/>
      <c r="G74" s="135" t="n"/>
      <c r="H74" s="135" t="n"/>
      <c r="I74" s="134" t="inlineStr">
        <is>
          <t>3-</t>
        </is>
      </c>
      <c r="J74" s="1" t="n"/>
      <c r="K74" s="1" t="n"/>
      <c r="L74" s="1" t="n"/>
      <c r="M74" s="1" t="n"/>
    </row>
    <row r="75" ht="27" customHeight="1" s="28">
      <c r="C75" s="132" t="inlineStr">
        <is>
          <t>5-Montaj ve teslim süreleri (varsa) sipariş onayı ve ödeme planına göre planlanacaktır.</t>
        </is>
      </c>
      <c r="D75" s="58" t="n"/>
      <c r="E75" s="58" t="n"/>
      <c r="F75" s="26" t="n"/>
      <c r="G75" s="135" t="n"/>
      <c r="H75" s="135" t="n"/>
      <c r="I75" s="134" t="inlineStr">
        <is>
          <t>4-</t>
        </is>
      </c>
      <c r="J75" s="1" t="n"/>
      <c r="K75" s="1" t="n"/>
      <c r="L75" s="1" t="n"/>
      <c r="M75" s="1" t="n"/>
    </row>
    <row r="76" ht="27" customHeight="1" s="28">
      <c r="C76" s="26" t="n"/>
      <c r="D76" s="58" t="n"/>
      <c r="E76" s="58" t="n"/>
      <c r="F76" s="26" t="n"/>
      <c r="G76" s="135" t="n"/>
      <c r="H76" s="135" t="n"/>
      <c r="I76" s="26" t="n"/>
      <c r="J76" s="135" t="n"/>
      <c r="K76" s="135" t="n"/>
      <c r="L76" s="31" t="n"/>
      <c r="M76" s="189" t="n"/>
    </row>
    <row r="77" ht="27" customHeight="1" s="28">
      <c r="C77" s="83" t="inlineStr">
        <is>
          <t xml:space="preserve">FİRMA UNVANLARI &amp; İBANLAR </t>
        </is>
      </c>
      <c r="M77" s="136" t="n"/>
    </row>
    <row r="78" ht="27" customHeight="1" s="28" thickBot="1">
      <c r="C78" s="123" t="n"/>
    </row>
    <row r="79" ht="27" customHeight="1" s="28">
      <c r="C79" s="190" t="inlineStr">
        <is>
          <t>ORTKA YAPI ELEMANLARI ÜRETİM SAN.LTD.ŞTİ TL</t>
        </is>
      </c>
      <c r="D79" s="143" t="n"/>
      <c r="E79" s="191" t="n"/>
      <c r="J79" s="136" t="n"/>
      <c r="K79" s="190" t="inlineStr">
        <is>
          <t>AYKA KAPI SANAYİ TİCARET ANONİM ŞİRKETİ TL</t>
        </is>
      </c>
      <c r="L79" s="142" t="n"/>
      <c r="M79" s="143" t="n"/>
      <c r="N79" s="165" t="inlineStr"/>
    </row>
    <row r="80" ht="27" customHeight="1" s="28">
      <c r="C80" s="29" t="inlineStr">
        <is>
          <t>Türkiye İş Bankası</t>
        </is>
      </c>
      <c r="D80" s="64" t="inlineStr">
        <is>
          <t>TR24 0006 4000 0018 6003 9367 45</t>
        </is>
      </c>
      <c r="E80" s="147" t="n"/>
      <c r="J80" s="136" t="n"/>
      <c r="K80" s="29" t="inlineStr">
        <is>
          <t>Garanti BBVA Bankası</t>
        </is>
      </c>
      <c r="M80" s="64" t="inlineStr">
        <is>
          <t>TR14 0006 2000 1120 0006 2913 29</t>
        </is>
      </c>
      <c r="N80" s="165" t="inlineStr"/>
    </row>
    <row r="81" ht="27" customHeight="1" s="28">
      <c r="C81" s="29" t="inlineStr">
        <is>
          <t xml:space="preserve">Ziraat Bankası </t>
        </is>
      </c>
      <c r="D81" s="64" t="inlineStr">
        <is>
          <t>TR07 0001 0021 6935 0399 4450 09</t>
        </is>
      </c>
      <c r="E81" s="147" t="n"/>
      <c r="J81" s="136" t="n"/>
      <c r="K81" s="29" t="inlineStr">
        <is>
          <t>Ziraat Bankası</t>
        </is>
      </c>
      <c r="M81" s="64" t="inlineStr">
        <is>
          <t>TR72 0001 0021 6994 2088 8850 01</t>
        </is>
      </c>
      <c r="N81" s="165" t="inlineStr"/>
    </row>
    <row r="82" ht="27" customHeight="1" s="28">
      <c r="C82" s="29" t="inlineStr">
        <is>
          <t>Albaraka Türk K.Bank</t>
        </is>
      </c>
      <c r="D82" s="64" t="inlineStr">
        <is>
          <t>TR66 0020 3000 0056 3735 0000 02</t>
        </is>
      </c>
      <c r="E82" s="147" t="n"/>
      <c r="J82" s="136" t="n"/>
      <c r="K82" s="29" t="inlineStr">
        <is>
          <t>Albaraka Türk K.Bank.</t>
        </is>
      </c>
      <c r="M82" s="64" t="inlineStr">
        <is>
          <t>TR25 0020 3000 0770 5276 0000 01</t>
        </is>
      </c>
      <c r="N82" s="165" t="inlineStr"/>
    </row>
    <row r="83" ht="27" customHeight="1" s="28" thickBot="1">
      <c r="C83" s="30" t="inlineStr">
        <is>
          <t xml:space="preserve">Vakıflar Bankası </t>
        </is>
      </c>
      <c r="D83" s="65" t="inlineStr">
        <is>
          <t>TR57 0001 5001 5800 7284 2692 06</t>
        </is>
      </c>
      <c r="E83" s="147" t="n"/>
      <c r="J83" s="136" t="n"/>
      <c r="K83" s="30" t="inlineStr"/>
      <c r="L83" s="151" t="n"/>
      <c r="M83" s="65" t="inlineStr"/>
      <c r="N83" s="165" t="inlineStr"/>
    </row>
    <row r="84" ht="27" customHeight="1" s="28">
      <c r="C84" s="135" t="n"/>
      <c r="D84" s="135" t="n"/>
      <c r="E84" s="135" t="n"/>
      <c r="F84" s="135" t="n"/>
    </row>
    <row r="85" ht="27" customHeight="1" s="28" thickBot="1">
      <c r="C85" s="83" t="inlineStr">
        <is>
          <t xml:space="preserve">TARAFLARIN KAŞE İMZASI </t>
        </is>
      </c>
      <c r="M85" s="136" t="n"/>
    </row>
    <row r="86" ht="27" customHeight="1" s="28" thickBot="1">
      <c r="C86" s="184" t="inlineStr">
        <is>
          <t xml:space="preserve">AYKA KAPI ADINA İMZA </t>
        </is>
      </c>
      <c r="D86" s="139" t="n"/>
      <c r="J86" s="184">
        <f>D23</f>
        <v/>
      </c>
      <c r="K86" s="138" t="n"/>
      <c r="L86" s="138" t="n"/>
      <c r="M86" s="139" t="n"/>
    </row>
    <row r="87" ht="27" customHeight="1" s="28"/>
    <row r="88" ht="27" customHeight="1" s="28"/>
    <row r="89" ht="27" customHeight="1" s="28"/>
    <row r="90" ht="27" customHeight="1" s="28"/>
    <row r="91" ht="27" customHeight="1" s="28"/>
    <row r="92" ht="27" customHeight="1" s="28"/>
    <row r="93" ht="27" customHeight="1" s="28"/>
    <row r="94" ht="27" customHeight="1" s="28"/>
    <row r="95" ht="27" customHeight="1" s="28"/>
    <row r="96" ht="27" customHeight="1" s="28"/>
    <row r="97" ht="27" customHeight="1" s="28"/>
  </sheetData>
  <sheetProtection selectLockedCells="1" selectUnlockedCells="0" algorithmName="SHA-512" sheet="1" objects="0" insertRows="1" insertHyperlinks="1" autoFilter="1" scenarios="0" formatColumns="1" deleteColumns="1" insertColumns="1" pivotTables="1" deleteRows="1" formatCells="1" saltValue="HM+GRFAfNAX1PXZ+YuXvlQ==" formatRows="1" sort="1" spinCount="100000" hashValue="xc6f2WEjeJxLGvVmDvFSxBp2fm1/zFCf6RtzR0WbzfnTCUvs2pTLuHhtTfneGB1MbpnKUMx2IoGam48rmaVD0A=="/>
  <mergeCells count="48">
    <mergeCell ref="I74:M74"/>
    <mergeCell ref="C69:M69"/>
    <mergeCell ref="E16:J19"/>
    <mergeCell ref="C86:D86"/>
    <mergeCell ref="K83:L83"/>
    <mergeCell ref="C77:M77"/>
    <mergeCell ref="C15:M15"/>
    <mergeCell ref="D30:M30"/>
    <mergeCell ref="D25:M25"/>
    <mergeCell ref="K80:L80"/>
    <mergeCell ref="C28:M28"/>
    <mergeCell ref="D24:M24"/>
    <mergeCell ref="C79:D79"/>
    <mergeCell ref="D33:M33"/>
    <mergeCell ref="D23:M23"/>
    <mergeCell ref="C16:D16"/>
    <mergeCell ref="C29:M29"/>
    <mergeCell ref="K81:L81"/>
    <mergeCell ref="D26:M26"/>
    <mergeCell ref="I72:M72"/>
    <mergeCell ref="C85:M85"/>
    <mergeCell ref="K17:M17"/>
    <mergeCell ref="I75:M75"/>
    <mergeCell ref="I71:M71"/>
    <mergeCell ref="C22:M22"/>
    <mergeCell ref="K19:M19"/>
    <mergeCell ref="C12:M12"/>
    <mergeCell ref="C34:M35"/>
    <mergeCell ref="J63:K63"/>
    <mergeCell ref="J61:L61"/>
    <mergeCell ref="B15:B27"/>
    <mergeCell ref="C61:D61"/>
    <mergeCell ref="K18:M18"/>
    <mergeCell ref="C36:M36"/>
    <mergeCell ref="K16:M16"/>
    <mergeCell ref="C17:D17"/>
    <mergeCell ref="C70:M70"/>
    <mergeCell ref="I73:M73"/>
    <mergeCell ref="D27:M27"/>
    <mergeCell ref="K82:L82"/>
    <mergeCell ref="C20:M21"/>
    <mergeCell ref="J86:M86"/>
    <mergeCell ref="J62:K62"/>
    <mergeCell ref="C19:D19"/>
    <mergeCell ref="K79:M79"/>
    <mergeCell ref="C18:D18"/>
    <mergeCell ref="C78:M78"/>
    <mergeCell ref="E79:J83"/>
  </mergeCells>
  <dataValidations count="2">
    <dataValidation sqref="I38:I42" showDropDown="0" showInputMessage="1" showErrorMessage="1" allowBlank="0" type="whole">
      <formula1>0</formula1>
      <formula2>50</formula2>
    </dataValidation>
    <dataValidation sqref="J38:J42"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63"/>
  <sheetViews>
    <sheetView workbookViewId="0">
      <selection activeCell="B4" sqref="B4"/>
    </sheetView>
  </sheetViews>
  <sheetFormatPr baseColWidth="8" defaultRowHeight="15"/>
  <cols>
    <col width="27.5703125" customWidth="1" style="28" min="1" max="1"/>
    <col width="54.85546875" customWidth="1" style="28" min="2" max="2"/>
    <col width="14" customWidth="1" style="28" min="3" max="3"/>
    <col width="9.140625" customWidth="1" style="28" min="4" max="16384"/>
  </cols>
  <sheetData>
    <row r="1">
      <c r="A1" s="44" t="inlineStr">
        <is>
          <t xml:space="preserve">kod </t>
        </is>
      </c>
      <c r="B1" s="44" t="inlineStr">
        <is>
          <t>ürün adı</t>
        </is>
      </c>
      <c r="C1" t="inlineStr">
        <is>
          <t xml:space="preserve">birim fiyatı </t>
        </is>
      </c>
    </row>
    <row r="2">
      <c r="A2" t="inlineStr">
        <is>
          <t>152.06.2004</t>
        </is>
      </c>
      <c r="B2" t="inlineStr">
        <is>
          <t>Optima Pro Çelik Kapı Ayarlı 1 ( 2 m² )</t>
        </is>
      </c>
      <c r="C2" s="193" t="n">
        <v>15436.64</v>
      </c>
    </row>
    <row r="3">
      <c r="A3" t="inlineStr">
        <is>
          <t>152.06.2005</t>
        </is>
      </c>
      <c r="B3" t="inlineStr">
        <is>
          <t>Optima Pro Çelik Kapı Ayarlı 2( 2 m² )</t>
        </is>
      </c>
      <c r="C3" s="193" t="n">
        <v>16230.18</v>
      </c>
    </row>
    <row r="4">
      <c r="A4" t="inlineStr">
        <is>
          <t>152.06.2006</t>
        </is>
      </c>
      <c r="B4" t="inlineStr">
        <is>
          <t>Optima Pro Çelik Kapı Ayarlı 3 ( 2 m² )</t>
        </is>
      </c>
      <c r="C4" s="193" t="n">
        <v>17041.71</v>
      </c>
    </row>
    <row r="5">
      <c r="A5" t="inlineStr">
        <is>
          <t>152.06.2104</t>
        </is>
      </c>
      <c r="B5" t="inlineStr">
        <is>
          <t>Trend  Pro Çelik Kapı Ayarlı 1( 2 m² )</t>
        </is>
      </c>
      <c r="C5" s="193" t="n">
        <v>16410.45</v>
      </c>
    </row>
    <row r="6">
      <c r="A6" t="inlineStr">
        <is>
          <t>152.06.2105</t>
        </is>
      </c>
      <c r="B6" t="inlineStr">
        <is>
          <t>Trend  Pro Çelik Kapı Ayarlı 2 ( 2 m² )</t>
        </is>
      </c>
      <c r="C6" s="193" t="n">
        <v>17619.25</v>
      </c>
    </row>
    <row r="7">
      <c r="A7" t="inlineStr">
        <is>
          <t>152.06.2106</t>
        </is>
      </c>
      <c r="B7" t="inlineStr">
        <is>
          <t>Trend  Pro Çelik Kapı Ayarlı 3 ( 2 m² )</t>
        </is>
      </c>
      <c r="C7" s="193" t="n">
        <v>18796.56</v>
      </c>
    </row>
    <row r="8">
      <c r="A8" t="inlineStr">
        <is>
          <t>152.06.2204</t>
        </is>
      </c>
      <c r="B8" t="inlineStr">
        <is>
          <t>Milano Pro Çelik Kapı Ayarlı 1 ( 2 m² )</t>
        </is>
      </c>
      <c r="C8" s="193" t="n">
        <v>28187.18</v>
      </c>
    </row>
    <row r="9">
      <c r="A9" t="inlineStr">
        <is>
          <t>152.06.2205</t>
        </is>
      </c>
      <c r="B9" t="inlineStr">
        <is>
          <t>Milano Pro Çelik Kapı Ayarlı 2 ( 2 m² )</t>
        </is>
      </c>
      <c r="C9" s="193" t="n">
        <v>29374.99</v>
      </c>
    </row>
    <row r="10">
      <c r="A10" t="inlineStr">
        <is>
          <t>152.06.2206</t>
        </is>
      </c>
      <c r="B10" t="inlineStr">
        <is>
          <t>Milano Pro Çelik Kapı Ayarlı 3 ( 2 m² )</t>
        </is>
      </c>
      <c r="C10" s="193" t="n">
        <v>30604.96</v>
      </c>
    </row>
    <row r="11">
      <c r="A11" t="inlineStr">
        <is>
          <t>152.06.2250</t>
        </is>
      </c>
      <c r="B11" t="inlineStr">
        <is>
          <t>Çelik Kapı Kasa (15*20) Kaplama</t>
        </is>
      </c>
      <c r="C11" s="193" t="n">
        <v>2795.77</v>
      </c>
    </row>
    <row r="12">
      <c r="A12" t="inlineStr">
        <is>
          <t>152.06.2251</t>
        </is>
      </c>
      <c r="B12" t="inlineStr">
        <is>
          <t>Çelik Kapı Kasa (20*25) Kaplama</t>
        </is>
      </c>
      <c r="C12" s="193" t="n">
        <v>3429.66</v>
      </c>
    </row>
    <row r="13">
      <c r="A13" t="inlineStr">
        <is>
          <t>152.06.2252</t>
        </is>
      </c>
      <c r="B13" t="inlineStr">
        <is>
          <t>Çelik Kapı Kasa (25*30) Kaplama</t>
        </is>
      </c>
      <c r="C13" s="193" t="n">
        <v>4063.55</v>
      </c>
    </row>
    <row r="14">
      <c r="A14" t="inlineStr">
        <is>
          <t>152.06.2401</t>
        </is>
      </c>
      <c r="B14" t="inlineStr">
        <is>
          <t xml:space="preserve">Lazer Kesim Çelik Kapı : 1 (2 m²) </t>
        </is>
      </c>
      <c r="C14" s="193" t="n">
        <v>22207.16</v>
      </c>
    </row>
    <row r="15">
      <c r="A15" t="inlineStr">
        <is>
          <t>152.06.2402</t>
        </is>
      </c>
      <c r="B15" t="inlineStr">
        <is>
          <t xml:space="preserve">Lazer Kesim Çelik Kapı : 2 (2 m²) </t>
        </is>
      </c>
      <c r="C15" s="193" t="n">
        <v>23675.11</v>
      </c>
    </row>
    <row r="16">
      <c r="A16" t="inlineStr">
        <is>
          <t>152.06.2403</t>
        </is>
      </c>
      <c r="B16" t="inlineStr">
        <is>
          <t xml:space="preserve">Lazer Kesim Çelik Kapı : 3 (2 m²) </t>
        </is>
      </c>
      <c r="C16" s="193" t="n">
        <v>24829.5</v>
      </c>
    </row>
    <row r="17">
      <c r="A17" t="inlineStr">
        <is>
          <t>152.06.2501</t>
        </is>
      </c>
      <c r="B17" t="inlineStr">
        <is>
          <t xml:space="preserve">Dekoratif Çelik Kapı : 1 (2 m²) </t>
        </is>
      </c>
      <c r="C17" s="193" t="n">
        <v>17565.47</v>
      </c>
    </row>
    <row r="18">
      <c r="A18" t="inlineStr">
        <is>
          <t>152.06.2502</t>
        </is>
      </c>
      <c r="B18" t="inlineStr">
        <is>
          <t xml:space="preserve">Dekoratif Çelik Kapı : 2 (2 m²) </t>
        </is>
      </c>
      <c r="C18" s="193" t="n">
        <v>18549.05</v>
      </c>
    </row>
    <row r="19">
      <c r="A19" t="inlineStr">
        <is>
          <t>152.06.2503</t>
        </is>
      </c>
      <c r="B19" t="inlineStr">
        <is>
          <t xml:space="preserve">Dekoratif Çelik Kapı : 3 (2 m²) </t>
        </is>
      </c>
      <c r="C19" s="193" t="n">
        <v>19559.3</v>
      </c>
    </row>
    <row r="20">
      <c r="A20" t="inlineStr">
        <is>
          <t>152.06.2701</t>
        </is>
      </c>
      <c r="B20" t="inlineStr">
        <is>
          <t xml:space="preserve">Acil Çelik Kapı : 1 (2 m²) </t>
        </is>
      </c>
      <c r="C20" s="193" t="n">
        <v>11180.43</v>
      </c>
    </row>
    <row r="21">
      <c r="A21" t="inlineStr">
        <is>
          <t>152.06.2702</t>
        </is>
      </c>
      <c r="B21" t="inlineStr">
        <is>
          <t xml:space="preserve">Acil Çelik Kapı : 2 (2 m²) </t>
        </is>
      </c>
      <c r="C21" s="193" t="n">
        <v>12203.56</v>
      </c>
    </row>
    <row r="22">
      <c r="A22" t="inlineStr">
        <is>
          <t>152.06.2703</t>
        </is>
      </c>
      <c r="B22" t="inlineStr">
        <is>
          <t xml:space="preserve">Acil Çelik Kapı : 3 (2 m²) </t>
        </is>
      </c>
      <c r="C22" s="193" t="n">
        <v>13258.38</v>
      </c>
    </row>
    <row r="23">
      <c r="A23" t="inlineStr">
        <is>
          <t>152.06.2751</t>
        </is>
      </c>
      <c r="B23" t="inlineStr">
        <is>
          <t xml:space="preserve">Acil Çelik Kapı Silindirli : 1 (2 m²) </t>
        </is>
      </c>
      <c r="C23" s="193" t="n">
        <v>12075.21</v>
      </c>
    </row>
    <row r="24">
      <c r="A24" t="inlineStr">
        <is>
          <t>152.06.2752</t>
        </is>
      </c>
      <c r="B24" t="inlineStr">
        <is>
          <t xml:space="preserve">Acil Çelik Kapı Silindirli : 2 (2 m²) </t>
        </is>
      </c>
      <c r="C24" s="193" t="n">
        <v>13154.27</v>
      </c>
    </row>
    <row r="25">
      <c r="A25" t="inlineStr">
        <is>
          <t>152.06.2753</t>
        </is>
      </c>
      <c r="B25" t="inlineStr">
        <is>
          <t xml:space="preserve">Acil Çelik Kapı Silindirli : 3 (2 m²) </t>
        </is>
      </c>
      <c r="C25" s="193" t="n">
        <v>14265.01</v>
      </c>
    </row>
    <row r="26">
      <c r="A26" t="inlineStr">
        <is>
          <t>152.06.2801</t>
        </is>
      </c>
      <c r="B26" t="inlineStr">
        <is>
          <t xml:space="preserve">Yangın TSE EN 16034 Çelik Kapı : 1 (2 m²) </t>
        </is>
      </c>
      <c r="C26" s="193" t="n">
        <v>16190.93</v>
      </c>
    </row>
    <row r="27">
      <c r="A27" t="inlineStr">
        <is>
          <t>152.06.2802</t>
        </is>
      </c>
      <c r="B27" t="inlineStr">
        <is>
          <t xml:space="preserve">Yangın TSE EN 16034 Çelik Kapı : 2 (2 m²) </t>
        </is>
      </c>
      <c r="C27" s="193" t="n">
        <v>16956.97</v>
      </c>
    </row>
    <row r="28">
      <c r="A28" t="inlineStr">
        <is>
          <t>152.06.2803</t>
        </is>
      </c>
      <c r="B28" t="inlineStr">
        <is>
          <t xml:space="preserve">Yangın TSE EN 16034 Çelik Kapı : 3 (2 m²) </t>
        </is>
      </c>
      <c r="C28" s="193" t="n">
        <v>17840</v>
      </c>
    </row>
    <row r="29">
      <c r="A29" t="inlineStr">
        <is>
          <t>152.06.2804</t>
        </is>
      </c>
      <c r="B29" t="inlineStr">
        <is>
          <t xml:space="preserve">Toki Yangın TSE Çelik Kapı : 1 (2 m²) </t>
        </is>
      </c>
      <c r="C29" s="193" t="n">
        <v>18738.49</v>
      </c>
    </row>
    <row r="30">
      <c r="A30" t="inlineStr">
        <is>
          <t>152.06.2805</t>
        </is>
      </c>
      <c r="B30" t="inlineStr">
        <is>
          <t xml:space="preserve">Toki Yangın TSE Çelik Kapı : 2 (2 m²) </t>
        </is>
      </c>
      <c r="C30" s="193" t="n">
        <v>19361.41</v>
      </c>
    </row>
    <row r="31">
      <c r="A31" t="inlineStr">
        <is>
          <t>152.06.2901</t>
        </is>
      </c>
      <c r="B31" t="inlineStr">
        <is>
          <t xml:space="preserve">Toki Çelik Kapı : 1 (2 m²) </t>
        </is>
      </c>
      <c r="C31" s="193" t="n">
        <v>33201.79</v>
      </c>
    </row>
    <row r="32">
      <c r="A32" t="inlineStr">
        <is>
          <t>152.06.2902</t>
        </is>
      </c>
      <c r="B32" t="inlineStr">
        <is>
          <t xml:space="preserve">Toki Çelik Kapı : 2 (2 m²) </t>
        </is>
      </c>
      <c r="C32" s="193" t="n">
        <v>35112.41</v>
      </c>
    </row>
    <row r="33">
      <c r="A33" t="inlineStr">
        <is>
          <t>152.06.2903</t>
        </is>
      </c>
      <c r="B33" t="inlineStr">
        <is>
          <t xml:space="preserve">Toki DK 1 (20-25*100*220) </t>
        </is>
      </c>
      <c r="C33" s="193" t="n">
        <v>13982.62</v>
      </c>
    </row>
    <row r="34">
      <c r="A34" t="inlineStr">
        <is>
          <t>152.06.2904</t>
        </is>
      </c>
      <c r="B34" t="inlineStr">
        <is>
          <t>Toki DK 2 (20-25*100*220) (Duman Sızdırmaz)</t>
        </is>
      </c>
      <c r="C34" s="193" t="n">
        <v>14975.9</v>
      </c>
    </row>
    <row r="35">
      <c r="A35" t="inlineStr">
        <is>
          <t>152.06.2905</t>
        </is>
      </c>
      <c r="B35" t="inlineStr">
        <is>
          <t>Toki DK 1 (20-25*100*220) Çift  Menfez</t>
        </is>
      </c>
      <c r="C35" s="193" t="n">
        <v>14856.53</v>
      </c>
    </row>
    <row r="36">
      <c r="A36" t="inlineStr">
        <is>
          <t>152.06.2906</t>
        </is>
      </c>
      <c r="B36" t="inlineStr">
        <is>
          <t>Toki DK 4 (20-25*100*220) Tek Menfez</t>
        </is>
      </c>
      <c r="C36" s="193" t="n">
        <v>19074.16</v>
      </c>
    </row>
    <row r="37">
      <c r="A37" t="inlineStr">
        <is>
          <t>152.06.2907</t>
        </is>
      </c>
      <c r="B37" t="inlineStr">
        <is>
          <t>Toki DK 5 (20-25*160*220) Çift Menfez</t>
        </is>
      </c>
      <c r="C37" s="193" t="n">
        <v>35120.11</v>
      </c>
    </row>
    <row r="38">
      <c r="A38" t="inlineStr">
        <is>
          <t>152.06.2908</t>
        </is>
      </c>
      <c r="B38" t="inlineStr">
        <is>
          <t>Toki DK 6 (20-25*160*220)</t>
        </is>
      </c>
      <c r="C38" s="193" t="n">
        <v>35120.43</v>
      </c>
    </row>
    <row r="39">
      <c r="A39" t="inlineStr">
        <is>
          <t>152.06.2909</t>
        </is>
      </c>
      <c r="B39" t="inlineStr">
        <is>
          <t>Toki Çelik Kapı Krom 1(2m2)</t>
        </is>
      </c>
      <c r="C39" s="193" t="n">
        <v>39910.01</v>
      </c>
    </row>
    <row r="40">
      <c r="A40" t="inlineStr">
        <is>
          <t>152.06.2950</t>
        </is>
      </c>
      <c r="B40" t="inlineStr">
        <is>
          <t xml:space="preserve">Şaft Kapağı 0,50 m² </t>
        </is>
      </c>
      <c r="C40" s="193" t="n">
        <v>2317.78</v>
      </c>
    </row>
    <row r="41">
      <c r="A41" t="inlineStr">
        <is>
          <t>152.06.2951</t>
        </is>
      </c>
      <c r="B41" t="inlineStr">
        <is>
          <t xml:space="preserve">Şaft Kapağı 0,75 m² </t>
        </is>
      </c>
      <c r="C41" s="193" t="n">
        <v>3351.28</v>
      </c>
    </row>
    <row r="42">
      <c r="A42" t="inlineStr">
        <is>
          <t>152.06.2952</t>
        </is>
      </c>
      <c r="B42" t="inlineStr">
        <is>
          <t xml:space="preserve">Şaft Kapağı 1,00 m² </t>
        </is>
      </c>
      <c r="C42" s="193" t="n">
        <v>4265.25</v>
      </c>
    </row>
    <row r="43">
      <c r="A43" t="inlineStr">
        <is>
          <t>152.06.2953</t>
        </is>
      </c>
      <c r="B43" t="inlineStr">
        <is>
          <t xml:space="preserve">Şaft Kapağı 1,25 m² </t>
        </is>
      </c>
      <c r="C43" s="193" t="n">
        <v>5237.87</v>
      </c>
    </row>
    <row r="44">
      <c r="A44" t="inlineStr">
        <is>
          <t>152.06.2954</t>
        </is>
      </c>
      <c r="B44" t="inlineStr">
        <is>
          <t xml:space="preserve">Şaft Kapağı 1,50 m² </t>
        </is>
      </c>
      <c r="C44" s="193" t="n">
        <v>6165.77</v>
      </c>
    </row>
    <row r="45">
      <c r="A45" t="inlineStr">
        <is>
          <t>152.06.2956"</t>
        </is>
      </c>
      <c r="B45" t="inlineStr">
        <is>
          <t xml:space="preserve">Şaft Kapağı Pano Tipi 0,50  m² </t>
        </is>
      </c>
      <c r="C45" s="193" t="n">
        <v>2480.52</v>
      </c>
    </row>
    <row r="46">
      <c r="A46" t="inlineStr">
        <is>
          <t>152.06.2957</t>
        </is>
      </c>
      <c r="B46" t="inlineStr">
        <is>
          <t xml:space="preserve">Şaft Kapağı Pano Tipi 0,75  m² </t>
        </is>
      </c>
      <c r="C46" s="193" t="n">
        <v>3541.02</v>
      </c>
    </row>
    <row r="47">
      <c r="A47" t="inlineStr">
        <is>
          <t>152.06.2958</t>
        </is>
      </c>
      <c r="B47" t="inlineStr">
        <is>
          <t xml:space="preserve">Şaft Kapağı Pano Tipi 1  m² </t>
        </is>
      </c>
      <c r="C47" s="193" t="n">
        <v>4556.83</v>
      </c>
    </row>
    <row r="48">
      <c r="A48" t="inlineStr">
        <is>
          <t>152.06.2959</t>
        </is>
      </c>
      <c r="B48" t="inlineStr">
        <is>
          <t xml:space="preserve">Şaft Kapağı Pano Tipi 1,25  m² </t>
        </is>
      </c>
      <c r="C48" s="193" t="n">
        <v>5212</v>
      </c>
    </row>
    <row r="49">
      <c r="A49" t="inlineStr">
        <is>
          <t>152.06.2960</t>
        </is>
      </c>
      <c r="B49" t="inlineStr">
        <is>
          <t xml:space="preserve">Şaft Kapağı Pano Tipi 1,5  m² </t>
        </is>
      </c>
      <c r="C49" s="193" t="n">
        <v>6152.57</v>
      </c>
    </row>
    <row r="50">
      <c r="A50" t="inlineStr">
        <is>
          <t>151.06.2001</t>
        </is>
      </c>
      <c r="B50" t="inlineStr">
        <is>
          <t>Metal İ.K ATipi Ayarlı Kasa 10*15cm (2m2)1.50mm</t>
        </is>
      </c>
      <c r="C50" s="193" t="n">
        <v>5290.49</v>
      </c>
    </row>
    <row r="51">
      <c r="A51" t="inlineStr">
        <is>
          <t>151.06.2002</t>
        </is>
      </c>
      <c r="B51" t="inlineStr">
        <is>
          <t>Metal İ.K ATipi Ayarlı Kasa 15*20cm (2m2)1.50mm</t>
        </is>
      </c>
      <c r="C51" s="193" t="n">
        <v>5809.07</v>
      </c>
    </row>
    <row r="52">
      <c r="A52" t="inlineStr">
        <is>
          <t>151.06.2003</t>
        </is>
      </c>
      <c r="B52" t="inlineStr">
        <is>
          <t>Metal İ.K ATipi Ayarlı Kasa 20*25cm (2m2)1.50mm</t>
        </is>
      </c>
      <c r="C52" s="193" t="n">
        <v>6350.52</v>
      </c>
    </row>
    <row r="53">
      <c r="A53" t="inlineStr">
        <is>
          <t>151.06.2004</t>
        </is>
      </c>
      <c r="B53" t="inlineStr">
        <is>
          <t>Metal İ.K ATipi Ayarlı Kasa 25*30cm (2m2)1.50mm</t>
        </is>
      </c>
      <c r="C53" s="193" t="n">
        <v>6923.54</v>
      </c>
    </row>
    <row r="54">
      <c r="A54" t="inlineStr">
        <is>
          <t>151.06.2201</t>
        </is>
      </c>
      <c r="B54" t="inlineStr">
        <is>
          <t>Metal İ.K ATipi Ayarlı Kasa 10*15cm (2m²) 2 mm</t>
        </is>
      </c>
      <c r="C54" s="193" t="n">
        <v>6139</v>
      </c>
    </row>
    <row r="55">
      <c r="A55" t="inlineStr">
        <is>
          <t>151.06.2202</t>
        </is>
      </c>
      <c r="B55" t="inlineStr">
        <is>
          <t>Metal İ.K ATipi Ayarlı Kasa 15*20cm (2m²) 2 mm</t>
        </is>
      </c>
      <c r="C55" s="193" t="n">
        <v>6858.15</v>
      </c>
    </row>
    <row r="56">
      <c r="A56" t="inlineStr">
        <is>
          <t>151.06.2203</t>
        </is>
      </c>
      <c r="B56" t="inlineStr">
        <is>
          <t>Metal İ.K ATipi Ayarlı Kasa 20*25cm (2m²) 2 mm</t>
        </is>
      </c>
      <c r="C56" s="193" t="n">
        <v>7620.82</v>
      </c>
    </row>
    <row r="57">
      <c r="A57" t="inlineStr">
        <is>
          <t>151.06.2204</t>
        </is>
      </c>
      <c r="B57" t="inlineStr">
        <is>
          <t>Metal İ.K ATipi Ayarlı Kasa 25*30cm (2m²) 2 mm</t>
        </is>
      </c>
      <c r="C57" s="193" t="n">
        <v>8560.15</v>
      </c>
    </row>
    <row r="58">
      <c r="A58" t="inlineStr">
        <is>
          <t>151.06.2205</t>
        </is>
      </c>
      <c r="B58" t="inlineStr">
        <is>
          <t>Metal İ.K ATipi Ayarlı Kasa 30*35cm (2m²) 2 mm</t>
        </is>
      </c>
      <c r="C58" s="193" t="n">
        <v>9453.280000000001</v>
      </c>
    </row>
    <row r="59">
      <c r="A59" t="inlineStr">
        <is>
          <t>151.06.2206</t>
        </is>
      </c>
      <c r="B59" t="inlineStr">
        <is>
          <t>Metal İ.K ATipi Ayarlı Kasa 35*40cm (2m²) 2 mm</t>
        </is>
      </c>
      <c r="C59" s="193" t="n">
        <v>10168.5</v>
      </c>
    </row>
    <row r="60">
      <c r="A60" t="inlineStr">
        <is>
          <t>150.06.0726</t>
        </is>
      </c>
      <c r="B60" t="inlineStr">
        <is>
          <t xml:space="preserve">ÇK Kale Kilit Takım Fiyat Farkı </t>
        </is>
      </c>
      <c r="C60" s="193" t="n">
        <v>1085</v>
      </c>
    </row>
    <row r="61">
      <c r="A61" t="inlineStr">
        <is>
          <t>150.06.0404</t>
        </is>
      </c>
      <c r="B61" t="inlineStr">
        <is>
          <t xml:space="preserve">ÇK- Optima-Trend Ahşap Fiyat Farkı </t>
        </is>
      </c>
      <c r="C61" s="193" t="n">
        <v>1120</v>
      </c>
    </row>
    <row r="62">
      <c r="A62" t="inlineStr">
        <is>
          <t>150.06.0452</t>
        </is>
      </c>
      <c r="B62" t="inlineStr">
        <is>
          <t xml:space="preserve">ÇK-Optima-Milano Ahşap Fiyat Farkı </t>
        </is>
      </c>
      <c r="C62" s="193" t="n">
        <v>1760</v>
      </c>
    </row>
    <row r="63">
      <c r="A63" t="inlineStr">
        <is>
          <t>150.06.0417</t>
        </is>
      </c>
      <c r="B63" t="inlineStr">
        <is>
          <t>Çk-Trend-Milano Ahşap Fiyat Farkı</t>
        </is>
      </c>
      <c r="C63" s="193" t="n">
        <v>1280</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2026-04-12T23:59:19Z</dcterms:modified>
</cp:coreProperties>
</file>