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CelikKapiGrubu" sheetId="83" r:id="rId2"/>
  </sheets>
  <definedNames>
    <definedName name="_xlnm.Print_Area" localSheetId="0">'1'!$A$1:$M$97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53" l="1"/>
  <c r="J86" i="53" l="1"/>
  <c r="H39" i="53"/>
  <c r="H40" i="53"/>
  <c r="H41" i="53"/>
  <c r="H42" i="53"/>
  <c r="D39" i="53"/>
  <c r="D40" i="53"/>
  <c r="D41" i="53"/>
  <c r="D42" i="53"/>
  <c r="H38" i="53"/>
  <c r="D38" i="53"/>
  <c r="L39" i="53"/>
  <c r="L40" i="53"/>
  <c r="L41" i="53"/>
  <c r="L42" i="53"/>
  <c r="L38" i="53"/>
  <c r="M14" i="53" l="1"/>
  <c r="M40" i="53" l="1"/>
  <c r="M41" i="53"/>
  <c r="M42" i="53"/>
  <c r="M39" i="53"/>
  <c r="M38" i="53"/>
  <c r="G43" i="53" l="1"/>
  <c r="M43" i="53" l="1"/>
  <c r="M44" i="53" s="1"/>
  <c r="M45" i="53" s="1"/>
  <c r="L62" i="53" s="1"/>
  <c r="L63" i="53" s="1"/>
</calcChain>
</file>

<file path=xl/sharedStrings.xml><?xml version="1.0" encoding="utf-8"?>
<sst xmlns="http://schemas.openxmlformats.org/spreadsheetml/2006/main" count="224" uniqueCount="218">
  <si>
    <t>ÇELİK KAPI</t>
  </si>
  <si>
    <t>Kod</t>
  </si>
  <si>
    <t xml:space="preserve">Satış Birimi </t>
  </si>
  <si>
    <t xml:space="preserve">Ölçü </t>
  </si>
  <si>
    <t>Renk</t>
  </si>
  <si>
    <t>Miktar</t>
  </si>
  <si>
    <t>Birim</t>
  </si>
  <si>
    <t xml:space="preserve">Tutar </t>
  </si>
  <si>
    <t>Adet</t>
  </si>
  <si>
    <t>Tutar Toplam</t>
  </si>
  <si>
    <t>K.D.V. %20</t>
  </si>
  <si>
    <t>* Kasa 1,2 mm - Kanat 1,2 mm Dkp Sac</t>
  </si>
  <si>
    <t xml:space="preserve">Yekün </t>
  </si>
  <si>
    <t>* Monoblok Sistem Daf Kilit</t>
  </si>
  <si>
    <t>* Yüzey 10 mm Pvc Kaplama</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</si>
  <si>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</si>
  <si>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</si>
  <si>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</si>
  <si>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</si>
  <si>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</si>
  <si>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</si>
  <si>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</si>
  <si>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</si>
  <si>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ÇELİK KAPI GRUBU </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</si>
  <si>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</si>
  <si>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</si>
  <si>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</si>
  <si>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</si>
  <si>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</si>
  <si>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</si>
  <si>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</si>
  <si>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</si>
  <si>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</si>
  <si>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</si>
  <si>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</si>
  <si>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</si>
  <si>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</si>
  <si>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</si>
  <si>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</si>
  <si>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</si>
  <si>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</si>
  <si>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</si>
  <si>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</si>
  <si>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</si>
  <si>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</si>
  <si>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</si>
  <si>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</si>
  <si>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</si>
  <si>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</si>
  <si>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</si>
  <si>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</si>
  <si>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 xml:space="preserve">Liste Fiyatı </t>
  </si>
  <si>
    <t xml:space="preserve">Birim Net Fiyatı </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</si>
  <si>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</si>
  <si>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</si>
  <si>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TSE 12655 belgeli</t>
  </si>
  <si>
    <t>Çelik Kapı Teknik Özellikler Temsilci Tarafından doldurulur.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</si>
  <si>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</si>
  <si>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</si>
  <si>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</si>
  <si>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</si>
  <si>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</si>
  <si>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</si>
  <si>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</si>
  <si>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</si>
  <si>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</si>
  <si>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</si>
  <si>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</si>
  <si>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</si>
  <si>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</si>
  <si>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</si>
  <si>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</si>
  <si>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</si>
  <si>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</si>
  <si>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</si>
  <si>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</si>
  <si>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</si>
  <si>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</si>
  <si>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</si>
  <si>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</si>
  <si>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</si>
  <si>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</si>
  <si>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</si>
  <si>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</si>
  <si>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</si>
  <si>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</si>
  <si>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</si>
  <si>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</si>
  <si>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</si>
  <si>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</si>
  <si>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</si>
  <si>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</si>
  <si>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</si>
  <si>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</si>
  <si>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</si>
  <si>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</si>
  <si>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</si>
  <si>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</si>
  <si>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</si>
  <si>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</si>
  <si>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</si>
  <si>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</si>
  <si>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</si>
  <si>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</si>
  <si>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</si>
  <si>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</si>
  <si>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</si>
  <si>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</si>
  <si>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</si>
  <si>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</si>
  <si>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</si>
  <si>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</si>
  <si>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</si>
  <si>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</si>
  <si>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</si>
  <si>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</si>
  <si>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</si>
  <si>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</si>
  <si>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</si>
  <si>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</si>
  <si>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</si>
  <si>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</si>
  <si>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</si>
  <si>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</si>
  <si>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</si>
  <si>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</si>
  <si>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</si>
  <si>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</si>
  <si>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</si>
  <si>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</si>
  <si>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</si>
  <si>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</si>
  <si>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</si>
  <si>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</si>
  <si>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</si>
  <si>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</si>
  <si>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</si>
  <si>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</si>
  <si>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</si>
  <si>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</si>
  <si>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</si>
  <si>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</si>
  <si>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</si>
  <si>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</si>
  <si>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</si>
  <si>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</si>
  <si>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</si>
  <si>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</si>
  <si>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</si>
  <si>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</si>
  <si>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</si>
  <si>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</si>
  <si>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</si>
  <si>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</si>
  <si>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</si>
  <si>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</si>
  <si>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</si>
  <si>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</si>
  <si>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</si>
  <si>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</si>
  <si>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</si>
  <si>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</si>
  <si>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</si>
  <si>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</si>
  <si>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</si>
  <si>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</si>
  <si>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</si>
  <si>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</si>
  <si>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</si>
  <si>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</si>
  <si>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</si>
  <si>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</si>
  <si>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</si>
  <si>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</si>
  <si>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</si>
  <si>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</si>
  <si>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</si>
  <si>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</si>
  <si>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</si>
  <si>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</si>
  <si>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</si>
  <si>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</si>
  <si>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</si>
  <si>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</si>
  <si>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</si>
  <si>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</si>
  <si>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</si>
  <si>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</si>
  <si>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</si>
  <si>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</si>
  <si>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</si>
  <si>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</si>
  <si>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</si>
  <si>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</si>
  <si>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</si>
  <si>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</si>
  <si>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</si>
  <si>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</si>
  <si>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</si>
  <si>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3-</t>
  </si>
  <si>
    <t>4-</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</si>
  <si>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</si>
  <si>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</si>
  <si>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</si>
  <si>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</si>
  <si>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</si>
  <si>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</si>
  <si>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</si>
  <si>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</si>
  <si>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TEKLİF</t>
  </si>
  <si>
    <t xml:space="preserve">TEKLİF NUMARASI </t>
  </si>
  <si>
    <t>1-Belirtilen fiyatlara KDV  hariçtir.</t>
  </si>
  <si>
    <t>2-İşbu teklif, düzenleme tarihinden itibaren ___ gün geçerlidir.</t>
  </si>
  <si>
    <t>3-Ürün ölçü ve model onayı müşteri tarafından teyit edilmeden üretime başlanmaz.</t>
  </si>
  <si>
    <t>4-Ödeme şartları teklif üzerinde belirtilen şekilde uygulanacaktır.</t>
  </si>
  <si>
    <t>5-Montaj ve teslim süreleri (varsa) sipariş onayı ve ödeme planına göre planlanacaktır.</t>
  </si>
  <si>
    <t xml:space="preserve">TEKLİF NOTLARI </t>
  </si>
  <si>
    <t>GENEL ŞARTLAR &amp;TEKLİF NOTLARI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</si>
</sst>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8"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0">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6">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22" fillId="0" borderId="0" xfId="0" applyFont="1" applyAlignment="1" applyProtection="1">
      <alignment horizontal="left"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5" fillId="0" borderId="14" xfId="0" applyFont="1" applyBorder="1" applyAlignment="1" applyProtection="1">
      <alignment horizontal="center" vertical="center"/>
      <protection locked="0"/>
    </xf>
    <xf numFmtId="0" fontId="0" fillId="0" borderId="0" xfId="0" applyAlignment="1" applyProtection="1">
      <alignment horizontal="center"/>
    </xf>
    <xf numFmtId="0" fontId="26" fillId="0" borderId="0" xfId="0" applyFont="1" applyAlignment="1" applyProtection="1">
      <alignment horizontal="left"/>
    </xf>
    <xf numFmtId="0" fontId="18"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27" fillId="0" borderId="0" xfId="0" applyFont="1" applyAlignment="1" applyProtection="1"/>
    <xf numFmtId="0" fontId="27" fillId="0" borderId="0" xfId="0" applyFont="1" applyAlignment="1" applyProtection="1">
      <protection locked="0"/>
    </xf>
    <xf numFmtId="0" fontId="23" fillId="0" borderId="0" xfId="0" applyFont="1" applyAlignment="1" applyProtection="1">
      <alignment horizontal="left"/>
      <protection locked="0"/>
    </xf>
    <xf numFmtId="0" fontId="4" fillId="0" borderId="0" xfId="0" applyFont="1" applyAlignment="1" applyProtection="1"/>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92</xdr:row>
      <xdr:rowOff>108857</xdr:rowOff>
    </xdr:from>
    <xdr:to>
      <xdr:col>12</xdr:col>
      <xdr:colOff>40822</xdr:colOff>
      <xdr:row>96</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027589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1673679</xdr:colOff>
      <xdr:row>50</xdr:row>
      <xdr:rowOff>37402</xdr:rowOff>
    </xdr:from>
    <xdr:to>
      <xdr:col>11</xdr:col>
      <xdr:colOff>54429</xdr:colOff>
      <xdr:row>52</xdr:row>
      <xdr:rowOff>338537</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177393" y="15277402"/>
          <a:ext cx="11851822" cy="9814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163285</xdr:colOff>
      <xdr:row>54</xdr:row>
      <xdr:rowOff>108858</xdr:rowOff>
    </xdr:from>
    <xdr:to>
      <xdr:col>3</xdr:col>
      <xdr:colOff>688361</xdr:colOff>
      <xdr:row>59</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54</xdr:row>
      <xdr:rowOff>149678</xdr:rowOff>
    </xdr:from>
    <xdr:to>
      <xdr:col>12</xdr:col>
      <xdr:colOff>2213814</xdr:colOff>
      <xdr:row>59</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97"/>
  <sheetViews>
    <sheetView tabSelected="1" zoomScale="70" zoomScaleNormal="70" zoomScaleSheetLayoutView="70" workbookViewId="0">
      <selection activeCell="D23" sqref="D23:M23"/>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67" t="s">
        <v>209</v>
      </c>
      <c r="D12" s="67"/>
      <c r="E12" s="67"/>
      <c r="F12" s="67"/>
      <c r="G12" s="67"/>
      <c r="H12" s="67"/>
      <c r="I12" s="67"/>
      <c r="J12" s="67"/>
      <c r="K12" s="67"/>
      <c r="L12" s="67"/>
      <c r="M12" s="68"/>
    </row>
    <row r="13" spans="1:13" ht="26.25" customHeight="1" thickBot="1" x14ac:dyDescent="0.3">
      <c r="A13" s="28"/>
      <c r="B13" s="28"/>
      <c r="C13" s="28"/>
      <c r="D13" s="28"/>
      <c r="E13" s="28"/>
      <c r="F13" s="28"/>
      <c r="G13" s="28"/>
      <c r="H13" s="28"/>
      <c r="I13" s="28"/>
      <c r="J13" s="28"/>
      <c r="K13" s="28"/>
      <c r="L13" s="28"/>
      <c r="M13" s="59"/>
    </row>
    <row r="14" spans="1:13" ht="26.25" customHeight="1" thickBot="1" x14ac:dyDescent="0.3">
      <c r="A14" s="28"/>
      <c r="B14" s="28"/>
      <c r="C14" s="28"/>
      <c r="D14" s="28"/>
      <c r="E14" s="28"/>
      <c r="F14" s="28"/>
      <c r="G14" s="28"/>
      <c r="H14" s="28"/>
      <c r="I14" s="28"/>
      <c r="J14" s="28"/>
      <c r="K14" s="28"/>
      <c r="L14" s="23" t="s">
        <v>40</v>
      </c>
      <c r="M14" s="38">
        <f ca="1">TODAY()</f>
        <v>46094</v>
      </c>
    </row>
    <row r="15" spans="1:13" ht="27" customHeight="1" thickBot="1" x14ac:dyDescent="0.3">
      <c r="B15" s="69" t="s">
        <v>39</v>
      </c>
      <c r="C15" s="70" t="s">
        <v>208</v>
      </c>
      <c r="D15" s="71"/>
      <c r="E15" s="71"/>
      <c r="F15" s="71"/>
      <c r="G15" s="71"/>
      <c r="H15" s="71"/>
      <c r="I15" s="71"/>
      <c r="J15" s="71"/>
      <c r="K15" s="71"/>
      <c r="L15" s="71"/>
      <c r="M15" s="72"/>
    </row>
    <row r="16" spans="1:13" ht="27" customHeight="1" x14ac:dyDescent="0.25">
      <c r="B16" s="69"/>
      <c r="C16" s="73" t="s">
        <v>18</v>
      </c>
      <c r="D16" s="74"/>
      <c r="E16" s="103"/>
      <c r="F16" s="85"/>
      <c r="G16" s="85"/>
      <c r="H16" s="85"/>
      <c r="I16" s="85"/>
      <c r="J16" s="86"/>
      <c r="K16" s="73" t="s">
        <v>29</v>
      </c>
      <c r="L16" s="75"/>
      <c r="M16" s="74"/>
    </row>
    <row r="17" spans="2:13" ht="27" customHeight="1" x14ac:dyDescent="0.25">
      <c r="B17" s="69"/>
      <c r="C17" s="76" t="s">
        <v>30</v>
      </c>
      <c r="D17" s="77"/>
      <c r="E17" s="104"/>
      <c r="F17" s="105"/>
      <c r="G17" s="105"/>
      <c r="H17" s="105"/>
      <c r="I17" s="105"/>
      <c r="J17" s="106"/>
      <c r="K17" s="76" t="s">
        <v>30</v>
      </c>
      <c r="L17" s="78"/>
      <c r="M17" s="77"/>
    </row>
    <row r="18" spans="2:13" ht="27" customHeight="1" x14ac:dyDescent="0.25">
      <c r="B18" s="69"/>
      <c r="C18" s="76" t="s">
        <v>31</v>
      </c>
      <c r="D18" s="77"/>
      <c r="E18" s="104"/>
      <c r="F18" s="105"/>
      <c r="G18" s="105"/>
      <c r="H18" s="105"/>
      <c r="I18" s="105"/>
      <c r="J18" s="106"/>
      <c r="K18" s="76" t="s">
        <v>32</v>
      </c>
      <c r="L18" s="78"/>
      <c r="M18" s="77"/>
    </row>
    <row r="19" spans="2:13" ht="27" customHeight="1" thickBot="1" x14ac:dyDescent="0.3">
      <c r="B19" s="69"/>
      <c r="C19" s="79" t="s">
        <v>33</v>
      </c>
      <c r="D19" s="80"/>
      <c r="E19" s="107"/>
      <c r="F19" s="108"/>
      <c r="G19" s="108"/>
      <c r="H19" s="108"/>
      <c r="I19" s="108"/>
      <c r="J19" s="109"/>
      <c r="K19" s="79" t="s">
        <v>33</v>
      </c>
      <c r="L19" s="84"/>
      <c r="M19" s="80"/>
    </row>
    <row r="20" spans="2:13" ht="27" customHeight="1" x14ac:dyDescent="0.25">
      <c r="B20" s="69"/>
      <c r="C20" s="75"/>
      <c r="D20" s="75"/>
      <c r="E20" s="75"/>
      <c r="F20" s="75"/>
      <c r="G20" s="75"/>
      <c r="H20" s="75"/>
      <c r="I20" s="75"/>
      <c r="J20" s="75"/>
      <c r="K20" s="75"/>
      <c r="L20" s="75"/>
      <c r="M20" s="75"/>
    </row>
    <row r="21" spans="2:13" ht="27" customHeight="1" thickBot="1" x14ac:dyDescent="0.3">
      <c r="B21" s="69"/>
      <c r="C21" s="84"/>
      <c r="D21" s="84"/>
      <c r="E21" s="84"/>
      <c r="F21" s="84"/>
      <c r="G21" s="84"/>
      <c r="H21" s="84"/>
      <c r="I21" s="84"/>
      <c r="J21" s="84"/>
      <c r="K21" s="84"/>
      <c r="L21" s="84"/>
      <c r="M21" s="84"/>
    </row>
    <row r="22" spans="2:13" ht="27" customHeight="1" thickBot="1" x14ac:dyDescent="0.3">
      <c r="B22" s="69"/>
      <c r="C22" s="70" t="s">
        <v>42</v>
      </c>
      <c r="D22" s="85"/>
      <c r="E22" s="85"/>
      <c r="F22" s="85"/>
      <c r="G22" s="85"/>
      <c r="H22" s="85"/>
      <c r="I22" s="85"/>
      <c r="J22" s="85"/>
      <c r="K22" s="85"/>
      <c r="L22" s="85"/>
      <c r="M22" s="86"/>
    </row>
    <row r="23" spans="2:13" ht="27" customHeight="1" thickBot="1" x14ac:dyDescent="0.3">
      <c r="B23" s="69"/>
      <c r="C23" s="23" t="s">
        <v>34</v>
      </c>
      <c r="D23" s="87"/>
      <c r="E23" s="88"/>
      <c r="F23" s="88"/>
      <c r="G23" s="88"/>
      <c r="H23" s="88"/>
      <c r="I23" s="88"/>
      <c r="J23" s="88"/>
      <c r="K23" s="88"/>
      <c r="L23" s="88"/>
      <c r="M23" s="89"/>
    </row>
    <row r="24" spans="2:13" ht="27" customHeight="1" thickBot="1" x14ac:dyDescent="0.3">
      <c r="B24" s="69"/>
      <c r="C24" s="60" t="s">
        <v>35</v>
      </c>
      <c r="D24" s="90"/>
      <c r="E24" s="91"/>
      <c r="F24" s="91"/>
      <c r="G24" s="91"/>
      <c r="H24" s="91"/>
      <c r="I24" s="91"/>
      <c r="J24" s="91"/>
      <c r="K24" s="91"/>
      <c r="L24" s="91"/>
      <c r="M24" s="92"/>
    </row>
    <row r="25" spans="2:13" ht="27" customHeight="1" thickBot="1" x14ac:dyDescent="0.3">
      <c r="B25" s="69"/>
      <c r="C25" s="23" t="s">
        <v>36</v>
      </c>
      <c r="D25" s="93"/>
      <c r="E25" s="94"/>
      <c r="F25" s="94"/>
      <c r="G25" s="94"/>
      <c r="H25" s="94"/>
      <c r="I25" s="94"/>
      <c r="J25" s="94"/>
      <c r="K25" s="94"/>
      <c r="L25" s="94"/>
      <c r="M25" s="95"/>
    </row>
    <row r="26" spans="2:13" ht="27" customHeight="1" thickBot="1" x14ac:dyDescent="0.3">
      <c r="B26" s="69"/>
      <c r="C26" s="61" t="s">
        <v>37</v>
      </c>
      <c r="D26" s="90"/>
      <c r="E26" s="91"/>
      <c r="F26" s="91"/>
      <c r="G26" s="91"/>
      <c r="H26" s="91"/>
      <c r="I26" s="91"/>
      <c r="J26" s="91"/>
      <c r="K26" s="91"/>
      <c r="L26" s="91"/>
      <c r="M26" s="92"/>
    </row>
    <row r="27" spans="2:13" ht="27" customHeight="1" thickBot="1" x14ac:dyDescent="0.3">
      <c r="B27" s="69"/>
      <c r="C27" s="23" t="s">
        <v>38</v>
      </c>
      <c r="D27" s="110"/>
      <c r="E27" s="111"/>
      <c r="F27" s="111"/>
      <c r="G27" s="111"/>
      <c r="H27" s="111"/>
      <c r="I27" s="111"/>
      <c r="J27" s="111"/>
      <c r="K27" s="111"/>
      <c r="L27" s="111"/>
      <c r="M27" s="112"/>
    </row>
    <row r="28" spans="2:13" ht="27" customHeight="1" thickBot="1" x14ac:dyDescent="0.3">
      <c r="B28" s="47"/>
      <c r="C28" s="122"/>
      <c r="D28" s="122"/>
      <c r="E28" s="122"/>
      <c r="F28" s="122"/>
      <c r="G28" s="122"/>
      <c r="H28" s="122"/>
      <c r="I28" s="122"/>
      <c r="J28" s="122"/>
      <c r="K28" s="122"/>
      <c r="L28" s="122"/>
      <c r="M28" s="122"/>
    </row>
    <row r="29" spans="2:13" ht="27" customHeight="1" thickBot="1" x14ac:dyDescent="0.3">
      <c r="B29" s="2"/>
      <c r="C29" s="70" t="s">
        <v>207</v>
      </c>
      <c r="D29" s="71"/>
      <c r="E29" s="71"/>
      <c r="F29" s="71"/>
      <c r="G29" s="71"/>
      <c r="H29" s="71"/>
      <c r="I29" s="71"/>
      <c r="J29" s="71"/>
      <c r="K29" s="71"/>
      <c r="L29" s="71"/>
      <c r="M29" s="72"/>
    </row>
    <row r="30" spans="2:13" ht="27" customHeight="1" thickBot="1" x14ac:dyDescent="0.3">
      <c r="B30" s="2"/>
      <c r="C30" s="42" t="s">
        <v>210</v>
      </c>
      <c r="D30" s="96" t="str">
        <f ca="1">"CKTKLF-"&amp;YEAR(NOW())&amp;MONTH(NOW())&amp;DAY(NOW())&amp;HOUR(NOW())&amp;MINUTE(NOW())</f>
        <v>CKTKLF-2026313239</v>
      </c>
      <c r="E30" s="97"/>
      <c r="F30" s="97"/>
      <c r="G30" s="97"/>
      <c r="H30" s="97"/>
      <c r="I30" s="97"/>
      <c r="J30" s="97"/>
      <c r="K30" s="97"/>
      <c r="L30" s="97"/>
      <c r="M30" s="98"/>
    </row>
    <row r="31" spans="2:13" ht="27" customHeight="1" thickBot="1" x14ac:dyDescent="0.3">
      <c r="B31" s="2"/>
      <c r="C31" s="42" t="s">
        <v>41</v>
      </c>
      <c r="D31" s="3" t="s">
        <v>46</v>
      </c>
      <c r="E31" s="4" t="s">
        <v>44</v>
      </c>
      <c r="F31" s="4"/>
      <c r="G31" s="4" t="s">
        <v>43</v>
      </c>
      <c r="H31" s="4"/>
      <c r="I31" s="4" t="s">
        <v>45</v>
      </c>
      <c r="J31" s="4"/>
      <c r="K31" s="5" t="s">
        <v>186</v>
      </c>
      <c r="L31" s="4"/>
      <c r="M31" s="5" t="s">
        <v>53</v>
      </c>
    </row>
    <row r="32" spans="2:13" ht="27" customHeight="1" thickBot="1" x14ac:dyDescent="0.3">
      <c r="B32" s="2"/>
      <c r="C32" s="22" t="s">
        <v>25</v>
      </c>
      <c r="D32" s="62" t="s">
        <v>47</v>
      </c>
      <c r="E32" s="41" t="s">
        <v>48</v>
      </c>
      <c r="F32" s="41"/>
      <c r="G32" s="99" t="s">
        <v>49</v>
      </c>
      <c r="H32" s="99"/>
      <c r="I32" s="99"/>
      <c r="J32" s="99"/>
      <c r="K32" s="99"/>
      <c r="L32" s="6" t="s">
        <v>50</v>
      </c>
      <c r="M32" s="7"/>
    </row>
    <row r="33" spans="2:13" ht="27" customHeight="1" thickBot="1" x14ac:dyDescent="0.3">
      <c r="B33" s="2"/>
      <c r="C33" s="42" t="s">
        <v>188</v>
      </c>
      <c r="D33" s="100" t="s">
        <v>187</v>
      </c>
      <c r="E33" s="101"/>
      <c r="F33" s="101"/>
      <c r="G33" s="101"/>
      <c r="H33" s="101"/>
      <c r="I33" s="101"/>
      <c r="J33" s="101"/>
      <c r="K33" s="101"/>
      <c r="L33" s="101"/>
      <c r="M33" s="102"/>
    </row>
    <row r="34" spans="2:13" ht="27" customHeight="1" x14ac:dyDescent="0.25">
      <c r="B34" s="2"/>
      <c r="C34" s="75"/>
      <c r="D34" s="75"/>
      <c r="E34" s="75"/>
      <c r="F34" s="75"/>
      <c r="G34" s="75"/>
      <c r="H34" s="75"/>
      <c r="I34" s="75"/>
      <c r="J34" s="75"/>
      <c r="K34" s="75"/>
      <c r="L34" s="75"/>
      <c r="M34" s="75"/>
    </row>
    <row r="35" spans="2:13" x14ac:dyDescent="0.25">
      <c r="C35" s="78"/>
      <c r="D35" s="78"/>
      <c r="E35" s="78"/>
      <c r="F35" s="78"/>
      <c r="G35" s="78"/>
      <c r="H35" s="78"/>
      <c r="I35" s="78"/>
      <c r="J35" s="78"/>
      <c r="K35" s="78"/>
      <c r="L35" s="78"/>
      <c r="M35" s="78"/>
    </row>
    <row r="36" spans="2:13" ht="27" customHeight="1" x14ac:dyDescent="0.25">
      <c r="C36" s="82" t="s">
        <v>0</v>
      </c>
      <c r="D36" s="82"/>
      <c r="E36" s="82"/>
      <c r="F36" s="82"/>
      <c r="G36" s="82"/>
      <c r="H36" s="82"/>
      <c r="I36" s="82"/>
      <c r="J36" s="82"/>
      <c r="K36" s="82"/>
      <c r="L36" s="82"/>
      <c r="M36" s="83"/>
    </row>
    <row r="37" spans="2:13" ht="27" customHeight="1" x14ac:dyDescent="0.25">
      <c r="C37" s="24" t="s">
        <v>1</v>
      </c>
      <c r="D37" s="24" t="s">
        <v>2</v>
      </c>
      <c r="E37" s="24" t="s">
        <v>3</v>
      </c>
      <c r="F37" s="24" t="s">
        <v>4</v>
      </c>
      <c r="G37" s="24" t="s">
        <v>5</v>
      </c>
      <c r="H37" s="24" t="s">
        <v>51</v>
      </c>
      <c r="I37" s="24" t="s">
        <v>184</v>
      </c>
      <c r="J37" s="24" t="s">
        <v>185</v>
      </c>
      <c r="K37" s="24" t="s">
        <v>6</v>
      </c>
      <c r="L37" s="24" t="s">
        <v>52</v>
      </c>
      <c r="M37" s="24" t="s">
        <v>7</v>
      </c>
    </row>
    <row r="38" spans="2:13" ht="27" customHeight="1" x14ac:dyDescent="0.3">
      <c r="C38" s="10"/>
      <c r="D38" s="37" t="str">
        <f>IF(C38="","",VLOOKUP(C38,CelikKapiGrubu!$A:$C,2,0))</f>
        <v/>
      </c>
      <c r="E38" s="11"/>
      <c r="F38" s="10"/>
      <c r="G38" s="11">
        <v>0</v>
      </c>
      <c r="H38" s="36" t="str">
        <f>IF(C38="","",VLOOKUP(C38,CelikKapiGrubu!$A:$C,3,0))</f>
        <v/>
      </c>
      <c r="I38" s="20">
        <v>0</v>
      </c>
      <c r="J38" s="20">
        <v>0</v>
      </c>
      <c r="K38" s="25" t="s">
        <v>8</v>
      </c>
      <c r="L38" s="32" t="str">
        <f>IF(G38&gt;0,ROUND(H38*(1-I38/100)*(1-J38/100),2),"")</f>
        <v/>
      </c>
      <c r="M38" s="33" t="str">
        <f>IF(G38&gt;0,L38*G38,"")</f>
        <v/>
      </c>
    </row>
    <row r="39" spans="2:13" ht="27" customHeight="1" x14ac:dyDescent="0.3">
      <c r="C39" s="10"/>
      <c r="D39" s="37" t="str">
        <f>IF(C39="","",VLOOKUP(C39,CelikKapiGrubu!$A:$C,2,0))</f>
        <v/>
      </c>
      <c r="E39" s="11"/>
      <c r="F39" s="10"/>
      <c r="G39" s="11">
        <v>0</v>
      </c>
      <c r="H39" s="36" t="str">
        <f>IF(C39="","",VLOOKUP(C39,CelikKapiGrubu!$A:$C,3,0))</f>
        <v/>
      </c>
      <c r="I39" s="20">
        <v>0</v>
      </c>
      <c r="J39" s="20">
        <v>0</v>
      </c>
      <c r="K39" s="25" t="s">
        <v>8</v>
      </c>
      <c r="L39" s="32" t="str">
        <f t="shared" ref="L39:L42" si="0">IF(G39&gt;0,ROUND(H39*(1-I39/100)*(1-J39/100),2),"")</f>
        <v/>
      </c>
      <c r="M39" s="33" t="str">
        <f>IF(G39&gt;0,L39*G39,"")</f>
        <v/>
      </c>
    </row>
    <row r="40" spans="2:13" ht="27" customHeight="1" x14ac:dyDescent="0.3">
      <c r="C40" s="46"/>
      <c r="D40" s="37" t="str">
        <f>IF(C40="","",VLOOKUP(C40,CelikKapiGrubu!$A:$C,2,0))</f>
        <v/>
      </c>
      <c r="E40" s="11"/>
      <c r="F40" s="10"/>
      <c r="G40" s="11">
        <v>0</v>
      </c>
      <c r="H40" s="36" t="str">
        <f>IF(C40="","",VLOOKUP(C40,CelikKapiGrubu!$A:$C,3,0))</f>
        <v/>
      </c>
      <c r="I40" s="20">
        <v>0</v>
      </c>
      <c r="J40" s="20">
        <v>0</v>
      </c>
      <c r="K40" s="25" t="s">
        <v>8</v>
      </c>
      <c r="L40" s="32" t="str">
        <f t="shared" si="0"/>
        <v/>
      </c>
      <c r="M40" s="33" t="str">
        <f>IF(G40&gt;0,L40*G40,"")</f>
        <v/>
      </c>
    </row>
    <row r="41" spans="2:13" ht="27" customHeight="1" x14ac:dyDescent="0.3">
      <c r="C41" s="10"/>
      <c r="D41" s="37" t="str">
        <f>IF(C41="","",VLOOKUP(C41,CelikKapiGrubu!$A:$C,2,0))</f>
        <v/>
      </c>
      <c r="E41" s="11"/>
      <c r="F41" s="10"/>
      <c r="G41" s="11">
        <v>0</v>
      </c>
      <c r="H41" s="36" t="str">
        <f>IF(C41="","",VLOOKUP(C41,CelikKapiGrubu!$A:$C,3,0))</f>
        <v/>
      </c>
      <c r="I41" s="20">
        <v>0</v>
      </c>
      <c r="J41" s="20">
        <v>0</v>
      </c>
      <c r="K41" s="25" t="s">
        <v>8</v>
      </c>
      <c r="L41" s="32" t="str">
        <f t="shared" si="0"/>
        <v/>
      </c>
      <c r="M41" s="33" t="str">
        <f>IF(G41&gt;0,L41*G41,"")</f>
        <v/>
      </c>
    </row>
    <row r="42" spans="2:13" ht="27" customHeight="1" x14ac:dyDescent="0.3">
      <c r="C42" s="12"/>
      <c r="D42" s="37" t="str">
        <f>IF(C42="","",VLOOKUP(C42,CelikKapiGrubu!$A:$C,2,0))</f>
        <v/>
      </c>
      <c r="E42" s="11"/>
      <c r="F42" s="13"/>
      <c r="G42" s="11">
        <v>0</v>
      </c>
      <c r="H42" s="36" t="str">
        <f>IF(C42="","",VLOOKUP(C42,CelikKapiGrubu!$A:$C,3,0))</f>
        <v/>
      </c>
      <c r="I42" s="20">
        <v>0</v>
      </c>
      <c r="J42" s="20">
        <v>0</v>
      </c>
      <c r="K42" s="25" t="s">
        <v>8</v>
      </c>
      <c r="L42" s="32" t="str">
        <f t="shared" si="0"/>
        <v/>
      </c>
      <c r="M42" s="33" t="str">
        <f>IF(G42&gt;0,L42*G42,"")</f>
        <v/>
      </c>
    </row>
    <row r="43" spans="2:13" ht="27" customHeight="1" x14ac:dyDescent="0.35">
      <c r="D43" s="8"/>
      <c r="E43" s="8"/>
      <c r="F43" s="8"/>
      <c r="G43" s="9">
        <f>SUM(G38+G39+G40+G41+G42)</f>
        <v>0</v>
      </c>
      <c r="H43" s="43"/>
      <c r="I43" s="43"/>
      <c r="J43" s="43"/>
      <c r="K43" s="54"/>
      <c r="L43" s="19" t="s">
        <v>9</v>
      </c>
      <c r="M43" s="34">
        <f>SUM(M38:M42)</f>
        <v>0</v>
      </c>
    </row>
    <row r="44" spans="2:13" ht="27" customHeight="1" x14ac:dyDescent="0.35">
      <c r="C44" s="63" t="s">
        <v>56</v>
      </c>
      <c r="D44" s="8"/>
      <c r="E44" s="8"/>
      <c r="F44" s="8"/>
      <c r="G44" s="8"/>
      <c r="H44" s="8"/>
      <c r="I44" s="8"/>
      <c r="J44" s="8"/>
      <c r="K44" s="54"/>
      <c r="L44" s="19" t="s">
        <v>10</v>
      </c>
      <c r="M44" s="35">
        <f>M43*20/100</f>
        <v>0</v>
      </c>
    </row>
    <row r="45" spans="2:13" ht="27" customHeight="1" x14ac:dyDescent="0.35">
      <c r="C45" s="18" t="s">
        <v>11</v>
      </c>
      <c r="D45" s="14"/>
      <c r="E45" s="14"/>
      <c r="F45" s="14"/>
      <c r="G45" s="14"/>
      <c r="H45" s="14"/>
      <c r="I45" s="14"/>
      <c r="J45" s="14"/>
      <c r="K45" s="27"/>
      <c r="L45" s="19" t="s">
        <v>12</v>
      </c>
      <c r="M45" s="34">
        <f>M44+M43</f>
        <v>0</v>
      </c>
    </row>
    <row r="46" spans="2:13" ht="27" customHeight="1" x14ac:dyDescent="0.35">
      <c r="C46" s="18" t="s">
        <v>13</v>
      </c>
      <c r="D46" s="14"/>
      <c r="E46" s="14"/>
      <c r="F46" s="14"/>
      <c r="G46" s="14"/>
      <c r="H46" s="14"/>
      <c r="I46" s="14"/>
      <c r="J46" s="14"/>
      <c r="K46" s="27"/>
      <c r="L46" s="31"/>
      <c r="M46" s="48"/>
    </row>
    <row r="47" spans="2:13" ht="27" customHeight="1" x14ac:dyDescent="0.35">
      <c r="C47" s="18" t="s">
        <v>14</v>
      </c>
      <c r="D47" s="14"/>
      <c r="E47" s="14"/>
      <c r="F47" s="14"/>
      <c r="G47" s="14"/>
      <c r="H47" s="14"/>
      <c r="I47" s="14"/>
      <c r="J47" s="14"/>
      <c r="K47" s="14"/>
      <c r="L47" s="15"/>
      <c r="M47" s="16"/>
    </row>
    <row r="48" spans="2:13" ht="27" customHeight="1" x14ac:dyDescent="0.35">
      <c r="C48" s="18" t="s">
        <v>55</v>
      </c>
      <c r="D48" s="14"/>
      <c r="E48" s="14"/>
      <c r="F48" s="14"/>
      <c r="G48" s="14"/>
      <c r="H48" s="14"/>
      <c r="I48" s="14"/>
      <c r="J48" s="14"/>
      <c r="K48" s="14"/>
      <c r="L48" s="15"/>
      <c r="M48" s="16"/>
    </row>
    <row r="49" spans="1:13" ht="27" customHeight="1" x14ac:dyDescent="0.35">
      <c r="C49" s="14"/>
      <c r="D49" s="14"/>
      <c r="E49" s="14"/>
      <c r="F49" s="14"/>
      <c r="G49" s="14"/>
      <c r="H49" s="14"/>
      <c r="I49" s="14"/>
      <c r="J49" s="14"/>
      <c r="K49" s="14"/>
      <c r="L49" s="15"/>
      <c r="M49" s="16"/>
    </row>
    <row r="50" spans="1:13" ht="27" customHeight="1" x14ac:dyDescent="0.25">
      <c r="A50" s="28"/>
      <c r="B50" s="28"/>
      <c r="C50" s="135"/>
      <c r="D50" s="135"/>
      <c r="E50" s="135"/>
      <c r="F50" s="135"/>
      <c r="G50" s="135"/>
      <c r="H50" s="135"/>
      <c r="I50" s="135"/>
      <c r="J50" s="135"/>
      <c r="K50" s="135"/>
      <c r="L50" s="135"/>
      <c r="M50" s="135"/>
    </row>
    <row r="51" spans="1:13" ht="27" customHeight="1" x14ac:dyDescent="0.25">
      <c r="A51" s="28"/>
      <c r="B51" s="28"/>
      <c r="C51" s="135"/>
      <c r="D51" s="135"/>
      <c r="E51" s="135"/>
      <c r="F51" s="135"/>
      <c r="G51" s="135"/>
      <c r="H51" s="135"/>
      <c r="I51" s="135"/>
      <c r="J51" s="135"/>
      <c r="K51" s="135"/>
      <c r="L51" s="135"/>
      <c r="M51" s="135"/>
    </row>
    <row r="52" spans="1:13" ht="27" customHeight="1" x14ac:dyDescent="0.25">
      <c r="A52" s="28"/>
      <c r="B52" s="28"/>
      <c r="C52" s="135"/>
      <c r="D52" s="135"/>
      <c r="E52" s="135"/>
      <c r="F52" s="135"/>
      <c r="G52" s="135"/>
      <c r="H52" s="135"/>
      <c r="I52" s="135"/>
      <c r="J52" s="135"/>
      <c r="K52" s="135"/>
      <c r="L52" s="135"/>
      <c r="M52" s="135"/>
    </row>
    <row r="53" spans="1:13" ht="27" customHeight="1" x14ac:dyDescent="0.25">
      <c r="A53" s="28"/>
      <c r="B53" s="28"/>
      <c r="C53" s="135"/>
      <c r="D53" s="135"/>
      <c r="E53" s="135"/>
      <c r="F53" s="135"/>
      <c r="G53" s="135"/>
      <c r="H53" s="135"/>
      <c r="I53" s="135"/>
      <c r="J53" s="135"/>
      <c r="K53" s="135"/>
      <c r="L53" s="135"/>
      <c r="M53" s="135"/>
    </row>
    <row r="54" spans="1:13" ht="27" customHeight="1" x14ac:dyDescent="0.25">
      <c r="A54" s="28"/>
      <c r="B54" s="28"/>
      <c r="C54" s="135"/>
      <c r="D54" s="135"/>
      <c r="E54" s="135"/>
      <c r="F54" s="135"/>
      <c r="G54" s="135"/>
      <c r="H54" s="135"/>
      <c r="I54" s="135"/>
      <c r="J54" s="135"/>
      <c r="K54" s="135"/>
      <c r="L54" s="135"/>
      <c r="M54" s="135"/>
    </row>
    <row r="55" spans="1:13" ht="27" customHeight="1" x14ac:dyDescent="0.35">
      <c r="A55" s="28"/>
      <c r="B55" s="28"/>
      <c r="C55" s="27"/>
      <c r="D55" s="27"/>
      <c r="E55" s="27"/>
      <c r="F55" s="27"/>
      <c r="G55" s="27"/>
      <c r="H55" s="27"/>
      <c r="I55" s="27"/>
      <c r="J55" s="27"/>
      <c r="K55" s="27"/>
      <c r="L55" s="31"/>
      <c r="M55" s="48"/>
    </row>
    <row r="56" spans="1:13" ht="27" customHeight="1" x14ac:dyDescent="0.35">
      <c r="A56" s="28"/>
      <c r="B56" s="28"/>
      <c r="C56" s="27"/>
      <c r="D56" s="27"/>
      <c r="E56" s="27"/>
      <c r="F56" s="27"/>
      <c r="G56" s="27"/>
      <c r="H56" s="27"/>
      <c r="I56" s="27"/>
      <c r="J56" s="27"/>
      <c r="K56" s="27"/>
      <c r="L56" s="31"/>
      <c r="M56" s="48"/>
    </row>
    <row r="57" spans="1:13" ht="27" customHeight="1" x14ac:dyDescent="0.35">
      <c r="A57" s="28"/>
      <c r="B57" s="28"/>
      <c r="C57" s="27"/>
      <c r="D57" s="27"/>
      <c r="E57" s="27"/>
      <c r="F57" s="27"/>
      <c r="G57" s="27"/>
      <c r="H57" s="27"/>
      <c r="I57" s="27"/>
      <c r="J57" s="27"/>
      <c r="K57" s="27"/>
      <c r="L57" s="31"/>
      <c r="M57" s="48"/>
    </row>
    <row r="58" spans="1:13" ht="27" customHeight="1" x14ac:dyDescent="0.35">
      <c r="A58" s="28"/>
      <c r="B58" s="28"/>
      <c r="C58" s="27"/>
      <c r="D58" s="27"/>
      <c r="E58" s="27"/>
      <c r="F58" s="27"/>
      <c r="G58" s="27"/>
      <c r="H58" s="27"/>
      <c r="I58" s="27"/>
      <c r="J58" s="27"/>
      <c r="K58" s="27"/>
      <c r="L58" s="31"/>
      <c r="M58" s="48"/>
    </row>
    <row r="59" spans="1:13" ht="27" customHeight="1" x14ac:dyDescent="0.35">
      <c r="A59" s="28"/>
      <c r="B59" s="28"/>
      <c r="C59" s="27"/>
      <c r="D59" s="27"/>
      <c r="E59" s="27"/>
      <c r="F59" s="27"/>
      <c r="G59" s="27"/>
      <c r="H59" s="27"/>
      <c r="I59" s="27"/>
      <c r="J59" s="27"/>
      <c r="K59" s="27"/>
      <c r="L59" s="31"/>
      <c r="M59" s="48"/>
    </row>
    <row r="60" spans="1:13" ht="27" customHeight="1" thickBot="1" x14ac:dyDescent="0.4">
      <c r="A60" s="28"/>
      <c r="B60" s="28"/>
      <c r="C60" s="27"/>
      <c r="D60" s="27"/>
      <c r="E60" s="27"/>
      <c r="F60" s="27"/>
      <c r="G60" s="27"/>
      <c r="H60" s="27"/>
      <c r="I60" s="27"/>
      <c r="J60" s="27"/>
      <c r="K60" s="27"/>
      <c r="L60" s="31"/>
      <c r="M60" s="48"/>
    </row>
    <row r="61" spans="1:13" ht="27" customHeight="1" thickBot="1" x14ac:dyDescent="0.3">
      <c r="C61" s="113" t="s">
        <v>189</v>
      </c>
      <c r="D61" s="114"/>
      <c r="E61" s="57"/>
      <c r="F61" s="57"/>
      <c r="G61" s="57"/>
      <c r="H61" s="57"/>
      <c r="I61" s="57"/>
      <c r="J61" s="113" t="s">
        <v>196</v>
      </c>
      <c r="K61" s="115"/>
      <c r="L61" s="114"/>
      <c r="M61" s="16"/>
    </row>
    <row r="62" spans="1:13" ht="27" customHeight="1" x14ac:dyDescent="0.35">
      <c r="C62" s="49" t="s">
        <v>190</v>
      </c>
      <c r="D62" s="52"/>
      <c r="E62" s="57"/>
      <c r="F62" s="57"/>
      <c r="G62" s="57"/>
      <c r="H62" s="57"/>
      <c r="I62" s="57"/>
      <c r="J62" s="118" t="s">
        <v>23</v>
      </c>
      <c r="K62" s="119"/>
      <c r="L62" s="55">
        <f>M45</f>
        <v>0</v>
      </c>
      <c r="M62" s="16"/>
    </row>
    <row r="63" spans="1:13" ht="27" customHeight="1" thickBot="1" x14ac:dyDescent="0.4">
      <c r="C63" s="50" t="s">
        <v>191</v>
      </c>
      <c r="D63" s="52"/>
      <c r="E63" s="57"/>
      <c r="F63" s="57"/>
      <c r="G63" s="57"/>
      <c r="H63" s="57"/>
      <c r="I63" s="57"/>
      <c r="J63" s="120" t="s">
        <v>24</v>
      </c>
      <c r="K63" s="121"/>
      <c r="L63" s="56">
        <f>L62</f>
        <v>0</v>
      </c>
      <c r="M63" s="16"/>
    </row>
    <row r="64" spans="1:13" ht="27" customHeight="1" x14ac:dyDescent="0.35">
      <c r="C64" s="50" t="s">
        <v>192</v>
      </c>
      <c r="D64" s="52"/>
      <c r="E64" s="57"/>
      <c r="F64" s="57"/>
      <c r="G64" s="57"/>
      <c r="H64" s="57"/>
      <c r="I64" s="57"/>
      <c r="J64" s="14"/>
      <c r="K64" s="14"/>
      <c r="L64" s="15"/>
      <c r="M64" s="16"/>
    </row>
    <row r="65" spans="2:13" ht="27" customHeight="1" x14ac:dyDescent="0.35">
      <c r="C65" s="50" t="s">
        <v>193</v>
      </c>
      <c r="D65" s="52"/>
      <c r="E65" s="57"/>
      <c r="F65" s="57"/>
      <c r="G65" s="57"/>
      <c r="H65" s="57"/>
      <c r="I65" s="57"/>
      <c r="J65" s="14"/>
      <c r="K65" s="14"/>
      <c r="L65" s="15"/>
      <c r="M65" s="16"/>
    </row>
    <row r="66" spans="2:13" ht="27" customHeight="1" x14ac:dyDescent="0.35">
      <c r="C66" s="50" t="s">
        <v>194</v>
      </c>
      <c r="D66" s="52"/>
      <c r="E66" s="57"/>
      <c r="F66" s="57"/>
      <c r="G66" s="57"/>
      <c r="H66" s="57"/>
      <c r="I66" s="57"/>
      <c r="J66" s="14"/>
      <c r="K66" s="14"/>
      <c r="L66" s="15"/>
      <c r="M66" s="16"/>
    </row>
    <row r="67" spans="2:13" ht="27" customHeight="1" thickBot="1" x14ac:dyDescent="0.4">
      <c r="C67" s="51" t="s">
        <v>195</v>
      </c>
      <c r="D67" s="53"/>
      <c r="E67" s="57"/>
      <c r="F67" s="57"/>
      <c r="G67" s="57"/>
      <c r="H67" s="57"/>
      <c r="I67" s="57"/>
      <c r="J67" s="14"/>
      <c r="K67" s="14"/>
      <c r="L67" s="15"/>
      <c r="M67" s="16"/>
    </row>
    <row r="68" spans="2:13" ht="27" customHeight="1" x14ac:dyDescent="0.35">
      <c r="C68" s="14"/>
      <c r="D68" s="14"/>
      <c r="E68" s="57"/>
      <c r="F68" s="57"/>
      <c r="G68" s="57"/>
      <c r="H68" s="57"/>
      <c r="I68" s="57"/>
      <c r="J68" s="14"/>
      <c r="K68" s="14"/>
      <c r="L68" s="15"/>
      <c r="M68" s="16"/>
    </row>
    <row r="69" spans="2:13" ht="27" customHeight="1" x14ac:dyDescent="0.25">
      <c r="C69" s="81" t="s">
        <v>54</v>
      </c>
      <c r="D69" s="81"/>
      <c r="E69" s="81"/>
      <c r="F69" s="81"/>
      <c r="G69" s="81"/>
      <c r="H69" s="81"/>
      <c r="I69" s="81"/>
      <c r="J69" s="81"/>
      <c r="K69" s="81"/>
      <c r="L69" s="81"/>
      <c r="M69" s="81"/>
    </row>
    <row r="70" spans="2:13" ht="27" customHeight="1" x14ac:dyDescent="0.25">
      <c r="C70" s="82" t="s">
        <v>217</v>
      </c>
      <c r="D70" s="82"/>
      <c r="E70" s="82"/>
      <c r="F70" s="82"/>
      <c r="G70" s="82"/>
      <c r="H70" s="82"/>
      <c r="I70" s="82"/>
      <c r="J70" s="82"/>
      <c r="K70" s="82"/>
      <c r="L70" s="82"/>
      <c r="M70" s="83"/>
    </row>
    <row r="71" spans="2:13" ht="27" customHeight="1" x14ac:dyDescent="0.35">
      <c r="B71" s="28"/>
      <c r="C71" s="132" t="s">
        <v>211</v>
      </c>
      <c r="D71" s="58"/>
      <c r="E71" s="58"/>
      <c r="F71" s="26"/>
      <c r="G71" s="27"/>
      <c r="H71" s="27"/>
      <c r="I71" s="124" t="s">
        <v>216</v>
      </c>
      <c r="J71" s="124"/>
      <c r="K71" s="124"/>
      <c r="L71" s="124"/>
      <c r="M71" s="124"/>
    </row>
    <row r="72" spans="2:13" ht="27" customHeight="1" x14ac:dyDescent="0.35">
      <c r="B72" s="28"/>
      <c r="C72" s="133" t="s">
        <v>212</v>
      </c>
      <c r="D72" s="58"/>
      <c r="E72" s="58"/>
      <c r="F72" s="26"/>
      <c r="G72" s="27"/>
      <c r="H72" s="27"/>
      <c r="I72" s="134" t="s">
        <v>205</v>
      </c>
      <c r="J72" s="134"/>
      <c r="K72" s="134"/>
      <c r="L72" s="134"/>
      <c r="M72" s="134"/>
    </row>
    <row r="73" spans="2:13" ht="27" customHeight="1" x14ac:dyDescent="0.35">
      <c r="B73" s="28"/>
      <c r="C73" s="132" t="s">
        <v>213</v>
      </c>
      <c r="D73" s="58"/>
      <c r="E73" s="58"/>
      <c r="F73" s="26"/>
      <c r="G73" s="27"/>
      <c r="H73" s="27"/>
      <c r="I73" s="134" t="s">
        <v>206</v>
      </c>
      <c r="J73" s="134"/>
      <c r="K73" s="134"/>
      <c r="L73" s="134"/>
      <c r="M73" s="134"/>
    </row>
    <row r="74" spans="2:13" ht="27" customHeight="1" x14ac:dyDescent="0.35">
      <c r="B74" s="28"/>
      <c r="C74" s="132" t="s">
        <v>214</v>
      </c>
      <c r="D74" s="58"/>
      <c r="E74" s="58"/>
      <c r="F74" s="26"/>
      <c r="G74" s="27"/>
      <c r="H74" s="27"/>
      <c r="I74" s="134" t="s">
        <v>199</v>
      </c>
      <c r="J74" s="134"/>
      <c r="K74" s="134"/>
      <c r="L74" s="134"/>
      <c r="M74" s="134"/>
    </row>
    <row r="75" spans="2:13" ht="27" customHeight="1" x14ac:dyDescent="0.35">
      <c r="B75" s="28"/>
      <c r="C75" s="132" t="s">
        <v>215</v>
      </c>
      <c r="D75" s="58"/>
      <c r="E75" s="58"/>
      <c r="F75" s="26"/>
      <c r="G75" s="27"/>
      <c r="H75" s="27"/>
      <c r="I75" s="134" t="s">
        <v>200</v>
      </c>
      <c r="J75" s="134"/>
      <c r="K75" s="134"/>
      <c r="L75" s="134"/>
      <c r="M75" s="134"/>
    </row>
    <row r="76" spans="2:13" ht="27" customHeight="1" x14ac:dyDescent="0.35">
      <c r="B76" s="28"/>
      <c r="C76" s="26"/>
      <c r="D76" s="58"/>
      <c r="E76" s="58"/>
      <c r="F76" s="26"/>
      <c r="G76" s="27"/>
      <c r="H76" s="27"/>
      <c r="I76" s="26"/>
      <c r="J76" s="27"/>
      <c r="K76" s="27"/>
      <c r="L76" s="31"/>
      <c r="M76" s="17"/>
    </row>
    <row r="77" spans="2:13" ht="27" customHeight="1" x14ac:dyDescent="0.25">
      <c r="C77" s="82" t="s">
        <v>26</v>
      </c>
      <c r="D77" s="82"/>
      <c r="E77" s="82"/>
      <c r="F77" s="82"/>
      <c r="G77" s="82"/>
      <c r="H77" s="82"/>
      <c r="I77" s="82"/>
      <c r="J77" s="82"/>
      <c r="K77" s="82"/>
      <c r="L77" s="82"/>
      <c r="M77" s="83"/>
    </row>
    <row r="78" spans="2:13" ht="27" customHeight="1" thickBot="1" x14ac:dyDescent="0.3">
      <c r="C78" s="123"/>
      <c r="D78" s="123"/>
      <c r="E78" s="123"/>
      <c r="F78" s="123"/>
      <c r="G78" s="123"/>
      <c r="H78" s="123"/>
      <c r="I78" s="123"/>
      <c r="J78" s="123"/>
      <c r="K78" s="123"/>
      <c r="L78" s="123"/>
      <c r="M78" s="123"/>
    </row>
    <row r="79" spans="2:13" ht="27" customHeight="1" x14ac:dyDescent="0.25">
      <c r="C79" s="116" t="s">
        <v>27</v>
      </c>
      <c r="D79" s="117"/>
      <c r="E79" s="129"/>
      <c r="F79" s="130"/>
      <c r="G79" s="130"/>
      <c r="H79" s="130"/>
      <c r="I79" s="130"/>
      <c r="J79" s="131"/>
      <c r="K79" s="116" t="s">
        <v>198</v>
      </c>
      <c r="L79" s="125"/>
      <c r="M79" s="117"/>
    </row>
    <row r="80" spans="2:13" ht="27" customHeight="1" x14ac:dyDescent="0.25">
      <c r="C80" s="29" t="s">
        <v>15</v>
      </c>
      <c r="D80" s="64" t="s">
        <v>20</v>
      </c>
      <c r="E80" s="129"/>
      <c r="F80" s="130"/>
      <c r="G80" s="130"/>
      <c r="H80" s="130"/>
      <c r="I80" s="130"/>
      <c r="J80" s="131"/>
      <c r="K80" s="126" t="s">
        <v>197</v>
      </c>
      <c r="L80" s="127"/>
      <c r="M80" s="128"/>
    </row>
    <row r="81" spans="3:13" ht="27" customHeight="1" x14ac:dyDescent="0.25">
      <c r="C81" s="29" t="s">
        <v>16</v>
      </c>
      <c r="D81" s="64" t="s">
        <v>22</v>
      </c>
      <c r="E81" s="129"/>
      <c r="F81" s="130"/>
      <c r="G81" s="130"/>
      <c r="H81" s="130"/>
      <c r="I81" s="130"/>
      <c r="J81" s="131"/>
      <c r="K81" s="126" t="s">
        <v>202</v>
      </c>
      <c r="L81" s="127"/>
      <c r="M81" s="128"/>
    </row>
    <row r="82" spans="3:13" ht="27" customHeight="1" x14ac:dyDescent="0.25">
      <c r="C82" s="29" t="s">
        <v>204</v>
      </c>
      <c r="D82" s="64" t="s">
        <v>19</v>
      </c>
      <c r="E82" s="129"/>
      <c r="F82" s="130"/>
      <c r="G82" s="130"/>
      <c r="H82" s="130"/>
      <c r="I82" s="130"/>
      <c r="J82" s="131"/>
      <c r="K82" s="126" t="s">
        <v>203</v>
      </c>
      <c r="L82" s="127"/>
      <c r="M82" s="128"/>
    </row>
    <row r="83" spans="3:13" ht="27" customHeight="1" thickBot="1" x14ac:dyDescent="0.3">
      <c r="C83" s="30" t="s">
        <v>17</v>
      </c>
      <c r="D83" s="65" t="s">
        <v>21</v>
      </c>
      <c r="E83" s="129"/>
      <c r="F83" s="130"/>
      <c r="G83" s="130"/>
      <c r="H83" s="130"/>
      <c r="I83" s="130"/>
      <c r="J83" s="131"/>
      <c r="K83" s="66"/>
      <c r="L83" s="39"/>
      <c r="M83" s="40"/>
    </row>
    <row r="84" spans="3:13" ht="27" customHeight="1" x14ac:dyDescent="0.25">
      <c r="C84" s="27"/>
      <c r="D84" s="27"/>
      <c r="E84" s="27"/>
      <c r="F84" s="27"/>
      <c r="G84" s="28"/>
      <c r="H84" s="28"/>
      <c r="I84" s="28"/>
      <c r="J84" s="28"/>
      <c r="K84" s="28"/>
      <c r="L84" s="28"/>
      <c r="M84" s="28"/>
    </row>
    <row r="85" spans="3:13" ht="27" customHeight="1" thickBot="1" x14ac:dyDescent="0.3">
      <c r="C85" s="82" t="s">
        <v>201</v>
      </c>
      <c r="D85" s="82"/>
      <c r="E85" s="82"/>
      <c r="F85" s="82"/>
      <c r="G85" s="82"/>
      <c r="H85" s="82"/>
      <c r="I85" s="82"/>
      <c r="J85" s="82"/>
      <c r="K85" s="82"/>
      <c r="L85" s="82"/>
      <c r="M85" s="83"/>
    </row>
    <row r="86" spans="3:13" ht="27" customHeight="1" thickBot="1" x14ac:dyDescent="0.3">
      <c r="C86" s="113" t="s">
        <v>28</v>
      </c>
      <c r="D86" s="114"/>
      <c r="E86" s="28"/>
      <c r="F86" s="28"/>
      <c r="G86" s="28"/>
      <c r="H86" s="28"/>
      <c r="I86" s="28"/>
      <c r="J86" s="113">
        <f>D23</f>
        <v>0</v>
      </c>
      <c r="K86" s="115"/>
      <c r="L86" s="115"/>
      <c r="M86" s="114"/>
    </row>
    <row r="87" spans="3:13" ht="27" customHeight="1" x14ac:dyDescent="0.25">
      <c r="C87" s="28"/>
      <c r="D87" s="28"/>
      <c r="E87" s="28"/>
      <c r="F87" s="28"/>
      <c r="G87" s="28"/>
      <c r="H87" s="28"/>
      <c r="I87" s="28"/>
      <c r="J87" s="28"/>
      <c r="K87" s="28"/>
      <c r="L87" s="28"/>
      <c r="M87" s="28"/>
    </row>
    <row r="88" spans="3:13" ht="27" customHeight="1" x14ac:dyDescent="0.25">
      <c r="C88" s="28"/>
      <c r="D88" s="28"/>
      <c r="E88" s="28"/>
      <c r="F88" s="28"/>
      <c r="G88" s="28"/>
      <c r="H88" s="28"/>
      <c r="I88" s="28"/>
      <c r="J88" s="28"/>
      <c r="K88" s="28"/>
      <c r="L88" s="28"/>
      <c r="M88" s="28"/>
    </row>
    <row r="89" spans="3:13" ht="27" customHeight="1" x14ac:dyDescent="0.25">
      <c r="C89" s="28"/>
      <c r="D89" s="28"/>
      <c r="E89" s="28"/>
      <c r="F89" s="28"/>
      <c r="G89" s="28"/>
      <c r="H89" s="28"/>
      <c r="I89" s="28"/>
      <c r="J89" s="28"/>
      <c r="K89" s="28"/>
      <c r="L89" s="28"/>
      <c r="M89" s="28"/>
    </row>
    <row r="90" spans="3:13" ht="27" customHeight="1" x14ac:dyDescent="0.25">
      <c r="C90" s="28"/>
      <c r="D90" s="28"/>
      <c r="E90" s="28"/>
      <c r="F90" s="28"/>
      <c r="G90" s="28"/>
      <c r="H90" s="28"/>
      <c r="I90" s="28"/>
      <c r="J90" s="28"/>
      <c r="K90" s="28"/>
      <c r="L90" s="28"/>
      <c r="M90" s="28"/>
    </row>
    <row r="91" spans="3:13" ht="27" customHeight="1" x14ac:dyDescent="0.25">
      <c r="C91" s="28"/>
      <c r="D91" s="28"/>
      <c r="E91" s="28"/>
      <c r="F91" s="28"/>
      <c r="G91" s="28"/>
      <c r="H91" s="28"/>
      <c r="I91" s="28"/>
      <c r="J91" s="28"/>
      <c r="K91" s="28"/>
      <c r="L91" s="28"/>
      <c r="M91" s="28"/>
    </row>
    <row r="92" spans="3:13" ht="27" customHeight="1" x14ac:dyDescent="0.25">
      <c r="C92" s="28"/>
      <c r="D92" s="28"/>
      <c r="E92" s="28"/>
      <c r="F92" s="28"/>
      <c r="G92" s="28"/>
      <c r="H92" s="28"/>
      <c r="I92" s="28"/>
      <c r="J92" s="28"/>
      <c r="K92" s="28"/>
      <c r="L92" s="28"/>
      <c r="M92" s="28"/>
    </row>
    <row r="93" spans="3:13" ht="27" customHeight="1" x14ac:dyDescent="0.25">
      <c r="C93" s="28"/>
      <c r="D93" s="28"/>
      <c r="E93" s="28"/>
      <c r="F93" s="28"/>
      <c r="G93" s="28"/>
      <c r="H93" s="28"/>
      <c r="I93" s="28"/>
      <c r="J93" s="28"/>
      <c r="K93" s="28"/>
      <c r="L93" s="28"/>
      <c r="M93" s="28"/>
    </row>
    <row r="94" spans="3:13" ht="27" customHeight="1" x14ac:dyDescent="0.25">
      <c r="C94" s="28"/>
      <c r="D94" s="28"/>
      <c r="E94" s="28"/>
      <c r="F94" s="28"/>
      <c r="G94" s="28"/>
      <c r="H94" s="28"/>
      <c r="I94" s="28"/>
      <c r="J94" s="28"/>
      <c r="K94" s="28"/>
      <c r="L94" s="28"/>
      <c r="M94" s="28"/>
    </row>
    <row r="95" spans="3:13" ht="27" customHeight="1" x14ac:dyDescent="0.25">
      <c r="C95" s="28"/>
      <c r="D95" s="28"/>
      <c r="E95" s="28"/>
      <c r="F95" s="28"/>
      <c r="G95" s="28"/>
      <c r="H95" s="28"/>
      <c r="I95" s="28"/>
      <c r="J95" s="28"/>
      <c r="K95" s="28"/>
      <c r="L95" s="28"/>
      <c r="M95" s="28"/>
    </row>
    <row r="96" spans="3:13" ht="27" customHeight="1" x14ac:dyDescent="0.25">
      <c r="C96" s="28"/>
      <c r="D96" s="28"/>
      <c r="E96" s="28"/>
      <c r="F96" s="28"/>
      <c r="G96" s="28"/>
      <c r="H96" s="28"/>
      <c r="I96" s="28"/>
      <c r="J96" s="28"/>
      <c r="K96" s="28"/>
      <c r="L96" s="28"/>
      <c r="M96" s="28"/>
    </row>
    <row r="97" spans="3:13" ht="27" customHeight="1" x14ac:dyDescent="0.25">
      <c r="C97" s="28"/>
      <c r="D97" s="28"/>
      <c r="E97" s="28"/>
      <c r="F97" s="28"/>
      <c r="G97" s="28"/>
      <c r="H97" s="28"/>
      <c r="I97" s="28"/>
      <c r="J97" s="28"/>
      <c r="K97" s="28"/>
      <c r="L97" s="28"/>
      <c r="M97" s="28"/>
    </row>
  </sheetData>
  <sheetProtection algorithmName="SHA-512" hashValue="xc6f2WEjeJxLGvVmDvFSxBp2fm1/zFCf6RtzR0WbzfnTCUvs2pTLuHhtTfneGB1MbpnKUMx2IoGam48rmaVD0A==" saltValue="HM+GRFAfNAX1PXZ+YuXvlQ==" spinCount="100000" sheet="1" selectLockedCells="1"/>
  <mergeCells count="48">
    <mergeCell ref="K80:M80"/>
    <mergeCell ref="K81:M81"/>
    <mergeCell ref="K82:M82"/>
    <mergeCell ref="E79:J83"/>
    <mergeCell ref="C61:D61"/>
    <mergeCell ref="C20:M21"/>
    <mergeCell ref="C28:M28"/>
    <mergeCell ref="C34:M35"/>
    <mergeCell ref="J61:L61"/>
    <mergeCell ref="C86:D86"/>
    <mergeCell ref="J86:M86"/>
    <mergeCell ref="C79:D79"/>
    <mergeCell ref="C70:M70"/>
    <mergeCell ref="C77:M77"/>
    <mergeCell ref="C78:M78"/>
    <mergeCell ref="I71:M71"/>
    <mergeCell ref="I72:M72"/>
    <mergeCell ref="I73:M73"/>
    <mergeCell ref="I74:M74"/>
    <mergeCell ref="I75:M75"/>
    <mergeCell ref="C85:M85"/>
    <mergeCell ref="K79:M79"/>
    <mergeCell ref="C69:M69"/>
    <mergeCell ref="C36:M36"/>
    <mergeCell ref="K19:M19"/>
    <mergeCell ref="C22:M22"/>
    <mergeCell ref="D23:M23"/>
    <mergeCell ref="D24:M24"/>
    <mergeCell ref="D25:M25"/>
    <mergeCell ref="D26:M26"/>
    <mergeCell ref="C29:M29"/>
    <mergeCell ref="D30:M30"/>
    <mergeCell ref="G32:K32"/>
    <mergeCell ref="D33:M33"/>
    <mergeCell ref="E16:J19"/>
    <mergeCell ref="D27:M27"/>
    <mergeCell ref="J62:K62"/>
    <mergeCell ref="J63:K63"/>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2">
      <formula1>0</formula1>
      <formula2>50</formula2>
    </dataValidation>
    <dataValidation type="whole" showInputMessage="1" showErrorMessage="1" sqref="J38:J42">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3"/>
  <sheetViews>
    <sheetView workbookViewId="0">
      <selection activeCell="B4" sqref="B4"/>
    </sheetView>
  </sheetViews>
  <sheetFormatPr defaultRowHeight="15" x14ac:dyDescent="0.25"/>
  <cols>
    <col min="1" max="1" width="27.5703125" style="28" customWidth="1"/>
    <col min="2" max="2" width="54.85546875" style="28" customWidth="1"/>
    <col min="3" max="3" width="14" style="28" customWidth="1"/>
    <col min="4" max="16384" width="9.140625" style="28"/>
  </cols>
  <sheetData>
    <row r="1" spans="1:3" x14ac:dyDescent="0.25">
      <c r="A1" s="44" t="s">
        <v>57</v>
      </c>
      <c r="B1" s="44" t="s">
        <v>58</v>
      </c>
      <c r="C1" s="28" t="s">
        <v>59</v>
      </c>
    </row>
    <row r="2" spans="1:3" x14ac:dyDescent="0.25">
      <c r="A2" s="28" t="s">
        <v>60</v>
      </c>
      <c r="B2" s="28" t="s">
        <v>61</v>
      </c>
      <c r="C2" s="45">
        <v>15436.64</v>
      </c>
    </row>
    <row r="3" spans="1:3" x14ac:dyDescent="0.25">
      <c r="A3" s="28" t="s">
        <v>62</v>
      </c>
      <c r="B3" s="28" t="s">
        <v>63</v>
      </c>
      <c r="C3" s="45">
        <v>16230.18</v>
      </c>
    </row>
    <row r="4" spans="1:3" x14ac:dyDescent="0.25">
      <c r="A4" s="28" t="s">
        <v>64</v>
      </c>
      <c r="B4" s="28" t="s">
        <v>65</v>
      </c>
      <c r="C4" s="45">
        <v>17041.71</v>
      </c>
    </row>
    <row r="5" spans="1:3" x14ac:dyDescent="0.25">
      <c r="A5" s="28" t="s">
        <v>66</v>
      </c>
      <c r="B5" s="28" t="s">
        <v>67</v>
      </c>
      <c r="C5" s="45">
        <v>16410.45</v>
      </c>
    </row>
    <row r="6" spans="1:3" x14ac:dyDescent="0.25">
      <c r="A6" s="28" t="s">
        <v>68</v>
      </c>
      <c r="B6" s="28" t="s">
        <v>69</v>
      </c>
      <c r="C6" s="45">
        <v>17619.25</v>
      </c>
    </row>
    <row r="7" spans="1:3" x14ac:dyDescent="0.25">
      <c r="A7" s="28" t="s">
        <v>70</v>
      </c>
      <c r="B7" s="28" t="s">
        <v>71</v>
      </c>
      <c r="C7" s="45">
        <v>18796.560000000001</v>
      </c>
    </row>
    <row r="8" spans="1:3" x14ac:dyDescent="0.25">
      <c r="A8" s="28" t="s">
        <v>72</v>
      </c>
      <c r="B8" s="28" t="s">
        <v>73</v>
      </c>
      <c r="C8" s="45">
        <v>28187.18</v>
      </c>
    </row>
    <row r="9" spans="1:3" x14ac:dyDescent="0.25">
      <c r="A9" s="28" t="s">
        <v>74</v>
      </c>
      <c r="B9" s="28" t="s">
        <v>75</v>
      </c>
      <c r="C9" s="45">
        <v>29374.99</v>
      </c>
    </row>
    <row r="10" spans="1:3" x14ac:dyDescent="0.25">
      <c r="A10" s="28" t="s">
        <v>76</v>
      </c>
      <c r="B10" s="28" t="s">
        <v>77</v>
      </c>
      <c r="C10" s="45">
        <v>30604.959999999999</v>
      </c>
    </row>
    <row r="11" spans="1:3" x14ac:dyDescent="0.25">
      <c r="A11" s="28" t="s">
        <v>78</v>
      </c>
      <c r="B11" s="28" t="s">
        <v>79</v>
      </c>
      <c r="C11" s="45">
        <v>2795.77</v>
      </c>
    </row>
    <row r="12" spans="1:3" x14ac:dyDescent="0.25">
      <c r="A12" s="28" t="s">
        <v>80</v>
      </c>
      <c r="B12" s="28" t="s">
        <v>81</v>
      </c>
      <c r="C12" s="45">
        <v>3429.66</v>
      </c>
    </row>
    <row r="13" spans="1:3" x14ac:dyDescent="0.25">
      <c r="A13" s="28" t="s">
        <v>82</v>
      </c>
      <c r="B13" s="28" t="s">
        <v>83</v>
      </c>
      <c r="C13" s="45">
        <v>4063.55</v>
      </c>
    </row>
    <row r="14" spans="1:3" x14ac:dyDescent="0.25">
      <c r="A14" s="28" t="s">
        <v>84</v>
      </c>
      <c r="B14" s="28" t="s">
        <v>85</v>
      </c>
      <c r="C14" s="45">
        <v>22207.16</v>
      </c>
    </row>
    <row r="15" spans="1:3" x14ac:dyDescent="0.25">
      <c r="A15" s="28" t="s">
        <v>86</v>
      </c>
      <c r="B15" s="28" t="s">
        <v>87</v>
      </c>
      <c r="C15" s="45">
        <v>23675.11</v>
      </c>
    </row>
    <row r="16" spans="1:3" x14ac:dyDescent="0.25">
      <c r="A16" s="28" t="s">
        <v>88</v>
      </c>
      <c r="B16" s="28" t="s">
        <v>89</v>
      </c>
      <c r="C16" s="45">
        <v>24829.5</v>
      </c>
    </row>
    <row r="17" spans="1:3" x14ac:dyDescent="0.25">
      <c r="A17" s="28" t="s">
        <v>90</v>
      </c>
      <c r="B17" s="28" t="s">
        <v>91</v>
      </c>
      <c r="C17" s="45">
        <v>17565.47</v>
      </c>
    </row>
    <row r="18" spans="1:3" x14ac:dyDescent="0.25">
      <c r="A18" s="28" t="s">
        <v>92</v>
      </c>
      <c r="B18" s="28" t="s">
        <v>93</v>
      </c>
      <c r="C18" s="45">
        <v>18549.05</v>
      </c>
    </row>
    <row r="19" spans="1:3" x14ac:dyDescent="0.25">
      <c r="A19" s="28" t="s">
        <v>94</v>
      </c>
      <c r="B19" s="28" t="s">
        <v>95</v>
      </c>
      <c r="C19" s="45">
        <v>19559.3</v>
      </c>
    </row>
    <row r="20" spans="1:3" x14ac:dyDescent="0.25">
      <c r="A20" s="28" t="s">
        <v>96</v>
      </c>
      <c r="B20" s="28" t="s">
        <v>97</v>
      </c>
      <c r="C20" s="45">
        <v>11180.43</v>
      </c>
    </row>
    <row r="21" spans="1:3" x14ac:dyDescent="0.25">
      <c r="A21" s="28" t="s">
        <v>98</v>
      </c>
      <c r="B21" s="28" t="s">
        <v>99</v>
      </c>
      <c r="C21" s="45">
        <v>12203.56</v>
      </c>
    </row>
    <row r="22" spans="1:3" x14ac:dyDescent="0.25">
      <c r="A22" s="28" t="s">
        <v>100</v>
      </c>
      <c r="B22" s="28" t="s">
        <v>101</v>
      </c>
      <c r="C22" s="45">
        <v>13258.38</v>
      </c>
    </row>
    <row r="23" spans="1:3" x14ac:dyDescent="0.25">
      <c r="A23" s="28" t="s">
        <v>102</v>
      </c>
      <c r="B23" s="28" t="s">
        <v>103</v>
      </c>
      <c r="C23" s="45">
        <v>12075.21</v>
      </c>
    </row>
    <row r="24" spans="1:3" x14ac:dyDescent="0.25">
      <c r="A24" s="28" t="s">
        <v>104</v>
      </c>
      <c r="B24" s="28" t="s">
        <v>105</v>
      </c>
      <c r="C24" s="45">
        <v>13154.27</v>
      </c>
    </row>
    <row r="25" spans="1:3" x14ac:dyDescent="0.25">
      <c r="A25" s="28" t="s">
        <v>106</v>
      </c>
      <c r="B25" s="28" t="s">
        <v>107</v>
      </c>
      <c r="C25" s="45">
        <v>14265.01</v>
      </c>
    </row>
    <row r="26" spans="1:3" x14ac:dyDescent="0.25">
      <c r="A26" s="28" t="s">
        <v>108</v>
      </c>
      <c r="B26" s="28" t="s">
        <v>109</v>
      </c>
      <c r="C26" s="45">
        <v>16190.93</v>
      </c>
    </row>
    <row r="27" spans="1:3" x14ac:dyDescent="0.25">
      <c r="A27" s="28" t="s">
        <v>110</v>
      </c>
      <c r="B27" s="28" t="s">
        <v>111</v>
      </c>
      <c r="C27" s="45">
        <v>16956.97</v>
      </c>
    </row>
    <row r="28" spans="1:3" x14ac:dyDescent="0.25">
      <c r="A28" s="28" t="s">
        <v>112</v>
      </c>
      <c r="B28" s="28" t="s">
        <v>113</v>
      </c>
      <c r="C28" s="45">
        <v>17840</v>
      </c>
    </row>
    <row r="29" spans="1:3" x14ac:dyDescent="0.25">
      <c r="A29" s="28" t="s">
        <v>114</v>
      </c>
      <c r="B29" s="28" t="s">
        <v>115</v>
      </c>
      <c r="C29" s="45">
        <v>18738.490000000002</v>
      </c>
    </row>
    <row r="30" spans="1:3" x14ac:dyDescent="0.25">
      <c r="A30" s="28" t="s">
        <v>116</v>
      </c>
      <c r="B30" s="28" t="s">
        <v>117</v>
      </c>
      <c r="C30" s="45">
        <v>19361.41</v>
      </c>
    </row>
    <row r="31" spans="1:3" x14ac:dyDescent="0.25">
      <c r="A31" s="28" t="s">
        <v>118</v>
      </c>
      <c r="B31" s="28" t="s">
        <v>119</v>
      </c>
      <c r="C31" s="45">
        <v>33201.79</v>
      </c>
    </row>
    <row r="32" spans="1:3" x14ac:dyDescent="0.25">
      <c r="A32" s="28" t="s">
        <v>120</v>
      </c>
      <c r="B32" s="28" t="s">
        <v>121</v>
      </c>
      <c r="C32" s="45">
        <v>35112.410000000003</v>
      </c>
    </row>
    <row r="33" spans="1:3" x14ac:dyDescent="0.25">
      <c r="A33" s="28" t="s">
        <v>122</v>
      </c>
      <c r="B33" s="28" t="s">
        <v>123</v>
      </c>
      <c r="C33" s="45">
        <v>13982.62</v>
      </c>
    </row>
    <row r="34" spans="1:3" x14ac:dyDescent="0.25">
      <c r="A34" s="28" t="s">
        <v>124</v>
      </c>
      <c r="B34" s="28" t="s">
        <v>125</v>
      </c>
      <c r="C34" s="45">
        <v>14975.9</v>
      </c>
    </row>
    <row r="35" spans="1:3" x14ac:dyDescent="0.25">
      <c r="A35" s="28" t="s">
        <v>126</v>
      </c>
      <c r="B35" s="28" t="s">
        <v>127</v>
      </c>
      <c r="C35" s="45">
        <v>14856.53</v>
      </c>
    </row>
    <row r="36" spans="1:3" x14ac:dyDescent="0.25">
      <c r="A36" s="28" t="s">
        <v>128</v>
      </c>
      <c r="B36" s="28" t="s">
        <v>129</v>
      </c>
      <c r="C36" s="45">
        <v>19074.16</v>
      </c>
    </row>
    <row r="37" spans="1:3" x14ac:dyDescent="0.25">
      <c r="A37" s="28" t="s">
        <v>130</v>
      </c>
      <c r="B37" s="28" t="s">
        <v>131</v>
      </c>
      <c r="C37" s="45">
        <v>35120.11</v>
      </c>
    </row>
    <row r="38" spans="1:3" x14ac:dyDescent="0.25">
      <c r="A38" s="28" t="s">
        <v>132</v>
      </c>
      <c r="B38" s="28" t="s">
        <v>133</v>
      </c>
      <c r="C38" s="45">
        <v>35120.43</v>
      </c>
    </row>
    <row r="39" spans="1:3" x14ac:dyDescent="0.25">
      <c r="A39" s="28" t="s">
        <v>134</v>
      </c>
      <c r="B39" s="28" t="s">
        <v>135</v>
      </c>
      <c r="C39" s="45">
        <v>39910.01</v>
      </c>
    </row>
    <row r="40" spans="1:3" x14ac:dyDescent="0.25">
      <c r="A40" s="28" t="s">
        <v>136</v>
      </c>
      <c r="B40" s="28" t="s">
        <v>137</v>
      </c>
      <c r="C40" s="45">
        <v>2317.7800000000002</v>
      </c>
    </row>
    <row r="41" spans="1:3" x14ac:dyDescent="0.25">
      <c r="A41" s="28" t="s">
        <v>138</v>
      </c>
      <c r="B41" s="28" t="s">
        <v>139</v>
      </c>
      <c r="C41" s="45">
        <v>3351.28</v>
      </c>
    </row>
    <row r="42" spans="1:3" x14ac:dyDescent="0.25">
      <c r="A42" s="28" t="s">
        <v>140</v>
      </c>
      <c r="B42" s="28" t="s">
        <v>141</v>
      </c>
      <c r="C42" s="45">
        <v>4265.25</v>
      </c>
    </row>
    <row r="43" spans="1:3" x14ac:dyDescent="0.25">
      <c r="A43" s="28" t="s">
        <v>142</v>
      </c>
      <c r="B43" s="28" t="s">
        <v>143</v>
      </c>
      <c r="C43" s="45">
        <v>5237.87</v>
      </c>
    </row>
    <row r="44" spans="1:3" x14ac:dyDescent="0.25">
      <c r="A44" s="28" t="s">
        <v>144</v>
      </c>
      <c r="B44" s="28" t="s">
        <v>145</v>
      </c>
      <c r="C44" s="45">
        <v>6165.77</v>
      </c>
    </row>
    <row r="45" spans="1:3" x14ac:dyDescent="0.25">
      <c r="A45" s="28" t="s">
        <v>146</v>
      </c>
      <c r="B45" s="28" t="s">
        <v>147</v>
      </c>
      <c r="C45" s="45">
        <v>2480.5200000000004</v>
      </c>
    </row>
    <row r="46" spans="1:3" x14ac:dyDescent="0.25">
      <c r="A46" s="28" t="s">
        <v>148</v>
      </c>
      <c r="B46" s="28" t="s">
        <v>149</v>
      </c>
      <c r="C46" s="45">
        <v>3541.02</v>
      </c>
    </row>
    <row r="47" spans="1:3" x14ac:dyDescent="0.25">
      <c r="A47" s="28" t="s">
        <v>150</v>
      </c>
      <c r="B47" s="28" t="s">
        <v>151</v>
      </c>
      <c r="C47" s="45">
        <v>4556.83</v>
      </c>
    </row>
    <row r="48" spans="1:3" x14ac:dyDescent="0.25">
      <c r="A48" s="28" t="s">
        <v>152</v>
      </c>
      <c r="B48" s="28" t="s">
        <v>153</v>
      </c>
      <c r="C48" s="45">
        <v>5212</v>
      </c>
    </row>
    <row r="49" spans="1:3" x14ac:dyDescent="0.25">
      <c r="A49" s="28" t="s">
        <v>154</v>
      </c>
      <c r="B49" s="28" t="s">
        <v>155</v>
      </c>
      <c r="C49" s="45">
        <v>6152.57</v>
      </c>
    </row>
    <row r="50" spans="1:3" x14ac:dyDescent="0.25">
      <c r="A50" s="28" t="s">
        <v>156</v>
      </c>
      <c r="B50" s="28" t="s">
        <v>157</v>
      </c>
      <c r="C50" s="45">
        <v>5290.49</v>
      </c>
    </row>
    <row r="51" spans="1:3" x14ac:dyDescent="0.25">
      <c r="A51" s="28" t="s">
        <v>158</v>
      </c>
      <c r="B51" s="28" t="s">
        <v>159</v>
      </c>
      <c r="C51" s="45">
        <v>5809.07</v>
      </c>
    </row>
    <row r="52" spans="1:3" x14ac:dyDescent="0.25">
      <c r="A52" s="28" t="s">
        <v>160</v>
      </c>
      <c r="B52" s="28" t="s">
        <v>161</v>
      </c>
      <c r="C52" s="45">
        <v>6350.52</v>
      </c>
    </row>
    <row r="53" spans="1:3" x14ac:dyDescent="0.25">
      <c r="A53" s="28" t="s">
        <v>162</v>
      </c>
      <c r="B53" s="28" t="s">
        <v>163</v>
      </c>
      <c r="C53" s="45">
        <v>6923.54</v>
      </c>
    </row>
    <row r="54" spans="1:3" x14ac:dyDescent="0.25">
      <c r="A54" s="28" t="s">
        <v>164</v>
      </c>
      <c r="B54" s="28" t="s">
        <v>165</v>
      </c>
      <c r="C54" s="45">
        <v>6139</v>
      </c>
    </row>
    <row r="55" spans="1:3" x14ac:dyDescent="0.25">
      <c r="A55" s="28" t="s">
        <v>166</v>
      </c>
      <c r="B55" s="28" t="s">
        <v>167</v>
      </c>
      <c r="C55" s="45">
        <v>6858.15</v>
      </c>
    </row>
    <row r="56" spans="1:3" x14ac:dyDescent="0.25">
      <c r="A56" s="28" t="s">
        <v>168</v>
      </c>
      <c r="B56" s="28" t="s">
        <v>169</v>
      </c>
      <c r="C56" s="45">
        <v>7620.82</v>
      </c>
    </row>
    <row r="57" spans="1:3" x14ac:dyDescent="0.25">
      <c r="A57" s="28" t="s">
        <v>170</v>
      </c>
      <c r="B57" s="28" t="s">
        <v>171</v>
      </c>
      <c r="C57" s="45">
        <v>8560.15</v>
      </c>
    </row>
    <row r="58" spans="1:3" x14ac:dyDescent="0.25">
      <c r="A58" s="28" t="s">
        <v>172</v>
      </c>
      <c r="B58" s="28" t="s">
        <v>173</v>
      </c>
      <c r="C58" s="45">
        <v>9453.2800000000007</v>
      </c>
    </row>
    <row r="59" spans="1:3" x14ac:dyDescent="0.25">
      <c r="A59" s="28" t="s">
        <v>174</v>
      </c>
      <c r="B59" s="28" t="s">
        <v>175</v>
      </c>
      <c r="C59" s="45">
        <v>10168.5</v>
      </c>
    </row>
    <row r="60" spans="1:3" x14ac:dyDescent="0.25">
      <c r="A60" s="28" t="s">
        <v>176</v>
      </c>
      <c r="B60" s="28" t="s">
        <v>177</v>
      </c>
      <c r="C60" s="45">
        <v>1085</v>
      </c>
    </row>
    <row r="61" spans="1:3" x14ac:dyDescent="0.25">
      <c r="A61" s="28" t="s">
        <v>178</v>
      </c>
      <c r="B61" s="28" t="s">
        <v>179</v>
      </c>
      <c r="C61" s="45">
        <v>1120</v>
      </c>
    </row>
    <row r="62" spans="1:3" x14ac:dyDescent="0.25">
      <c r="A62" s="28" t="s">
        <v>180</v>
      </c>
      <c r="B62" s="28" t="s">
        <v>181</v>
      </c>
      <c r="C62" s="45">
        <v>1760</v>
      </c>
    </row>
    <row r="63" spans="1:3" x14ac:dyDescent="0.25">
      <c r="A63" s="28" t="s">
        <v>182</v>
      </c>
      <c r="B63" s="28" t="s">
        <v>183</v>
      </c>
      <c r="C63" s="45">
        <v>1280</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CelikKapiGrubu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2026-03-13T20:11:52Z</dcterms:modified>
</cp:coreProperties>
</file>