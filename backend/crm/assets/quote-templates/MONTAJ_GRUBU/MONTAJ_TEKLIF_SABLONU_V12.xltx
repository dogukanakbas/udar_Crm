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book.xml" ContentType="application/vnd.openxmlformats-officedocument.spreadsheetml.template.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0" windowWidth="22260" windowHeight="12645" tabRatio="600" firstSheet="0" activeTab="0" autoFilterDateGrouping="1"/>
  </bookViews>
  <sheets>
    <sheet xmlns:r="http://schemas.openxmlformats.org/officeDocument/2006/relationships" name="1" sheetId="1" state="visible" r:id="rId1"/>
    <sheet xmlns:r="http://schemas.openxmlformats.org/officeDocument/2006/relationships" name="MontajGrubu" sheetId="2" state="visible" r:id="rId2"/>
  </sheets>
  <definedNames>
    <definedName name="_xlnm.Print_Area" localSheetId="0">'1'!$A$1:$M$99</definedName>
  </definedNames>
  <calcPr calcId="162913" fullCalcOnLoad="1"/>
</workbook>
</file>

<file path=xl/styles.xml><?xml version="1.0" encoding="utf-8"?>
<styleSheet xmlns="http://schemas.openxmlformats.org/spreadsheetml/2006/main">
  <numFmts count="2">
    <numFmt numFmtId="164" formatCode="_-&quot;₺&quot;* #,##0.00_-;\-&quot;₺&quot;* #,##0.00_-;_-&quot;₺&quot;* &quot;-&quot;??_-;_-@_-"/>
    <numFmt numFmtId="165" formatCode="[$-F800]dddd\,\ mmmm\ dd\,\ yyyy"/>
  </numFmts>
  <fonts count="27">
    <font>
      <name val="Calibri"/>
      <family val="2"/>
      <color theme="1"/>
      <sz val="11"/>
      <scheme val="minor"/>
    </font>
    <font>
      <name val="Calibri"/>
      <family val="2"/>
      <color theme="1"/>
      <sz val="11"/>
      <scheme val="minor"/>
    </font>
    <font>
      <name val="Times New Roman"/>
      <charset val="162"/>
      <family val="1"/>
      <color rgb="FF000066"/>
      <sz val="11"/>
    </font>
    <font>
      <name val="Times New Roman"/>
      <charset val="162"/>
      <family val="1"/>
      <color theme="1"/>
      <sz val="11"/>
    </font>
    <font>
      <name val="Times New Roman"/>
      <charset val="162"/>
      <family val="1"/>
      <i val="1"/>
      <color rgb="FF000066"/>
      <sz val="11"/>
    </font>
    <font>
      <name val="Times New Roman"/>
      <charset val="162"/>
      <family val="1"/>
      <b val="1"/>
      <color rgb="FF000066"/>
      <sz val="14"/>
    </font>
    <font>
      <name val="Times New Roman"/>
      <charset val="162"/>
      <family val="1"/>
      <color theme="1"/>
      <sz val="12"/>
    </font>
    <font>
      <name val="Times New Roman"/>
      <charset val="162"/>
      <family val="1"/>
      <color theme="1"/>
      <sz val="14"/>
    </font>
    <font>
      <name val="Times New Roman"/>
      <charset val="162"/>
      <family val="1"/>
      <b val="1"/>
      <color theme="1"/>
      <sz val="14"/>
    </font>
    <font>
      <name val="Times New Roman"/>
      <charset val="162"/>
      <family val="1"/>
      <b val="1"/>
      <color theme="0"/>
      <sz val="16"/>
    </font>
    <font>
      <name val="Times New Roman"/>
      <charset val="162"/>
      <family val="1"/>
      <color rgb="FF000066"/>
      <sz val="12"/>
    </font>
    <font>
      <name val="Times New Roman"/>
      <charset val="162"/>
      <family val="1"/>
      <sz val="12"/>
    </font>
    <font>
      <name val="Times New Roman"/>
      <charset val="162"/>
      <family val="1"/>
      <sz val="14"/>
    </font>
    <font>
      <name val="Times New Roman"/>
      <charset val="162"/>
      <family val="1"/>
      <b val="1"/>
      <i val="1"/>
      <color rgb="FF000066"/>
      <sz val="14"/>
    </font>
    <font>
      <name val="Times New Roman"/>
      <charset val="162"/>
      <family val="1"/>
      <b val="1"/>
      <color theme="1"/>
      <sz val="12"/>
    </font>
    <font>
      <name val="Times New Roman"/>
      <charset val="162"/>
      <family val="1"/>
      <b val="1"/>
      <color theme="0"/>
      <sz val="18"/>
    </font>
    <font>
      <name val="Times New Roman"/>
      <charset val="162"/>
      <family val="1"/>
      <i val="1"/>
      <color rgb="FF000066"/>
      <sz val="12"/>
    </font>
    <font>
      <name val="Times New Roman"/>
      <charset val="162"/>
      <family val="1"/>
      <i val="1"/>
      <color rgb="FF000066"/>
      <sz val="14"/>
    </font>
    <font>
      <name val="Times New Roman"/>
      <charset val="162"/>
      <family val="1"/>
      <b val="1"/>
      <color rgb="FF000066"/>
      <sz val="16"/>
    </font>
    <font>
      <name val="Times New Roman"/>
      <charset val="162"/>
      <family val="1"/>
      <color theme="1"/>
      <sz val="13"/>
    </font>
    <font>
      <name val="Times New Roman"/>
      <charset val="162"/>
      <family val="1"/>
      <color rgb="FFFF0000"/>
      <sz val="13"/>
    </font>
    <font>
      <name val="Times New Roman"/>
      <charset val="162"/>
      <family val="1"/>
      <color rgb="FF002060"/>
      <sz val="26"/>
    </font>
    <font>
      <name val="Times New Roman"/>
      <charset val="162"/>
      <family val="1"/>
      <b val="1"/>
      <i val="1"/>
      <color rgb="FF000066"/>
      <sz val="12"/>
    </font>
    <font>
      <name val="Times New Roman"/>
      <charset val="162"/>
      <family val="1"/>
      <b val="1"/>
      <i val="1"/>
      <color rgb="FF000066"/>
      <sz val="13"/>
    </font>
    <font>
      <name val="Times New Roman"/>
      <charset val="162"/>
      <family val="1"/>
      <b val="1"/>
      <color rgb="FF000066"/>
      <sz val="18"/>
    </font>
    <font>
      <name val="Times New Roman"/>
      <charset val="162"/>
      <family val="1"/>
      <color rgb="FF000066"/>
      <sz val="18"/>
    </font>
    <font>
      <name val="Times New Roman"/>
      <charset val="162"/>
      <family val="1"/>
      <color rgb="FF000066"/>
      <sz val="16"/>
    </font>
  </fonts>
  <fills count="3">
    <fill>
      <patternFill/>
    </fill>
    <fill>
      <patternFill patternType="gray125"/>
    </fill>
    <fill>
      <patternFill patternType="solid">
        <fgColor theme="8" tint="-0.499984740745262"/>
        <bgColor indexed="64"/>
      </patternFill>
    </fill>
  </fills>
  <borders count="32">
    <border>
      <left/>
      <right/>
      <top/>
      <bottom/>
      <diagonal/>
    </border>
    <border>
      <left/>
      <right style="medium">
        <color indexed="64"/>
      </right>
      <top/>
      <bottom/>
      <diagonal/>
    </border>
    <border>
      <left/>
      <right/>
      <top style="medium">
        <color indexed="64"/>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medium">
        <color indexed="64"/>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top/>
      <bottom/>
    </border>
  </borders>
  <cellStyleXfs count="2">
    <xf numFmtId="0" fontId="1" fillId="0" borderId="0"/>
    <xf numFmtId="44" fontId="1" fillId="0" borderId="0"/>
  </cellStyleXfs>
  <cellXfs count="189">
    <xf numFmtId="0" fontId="0" fillId="0" borderId="0" pivotButton="0" quotePrefix="0" xfId="0"/>
    <xf numFmtId="0" fontId="0" fillId="0" borderId="0" applyProtection="1" pivotButton="0" quotePrefix="0" xfId="0">
      <protection locked="0" hidden="0"/>
    </xf>
    <xf numFmtId="0" fontId="21" fillId="0" borderId="0" applyAlignment="1" applyProtection="1" pivotButton="0" quotePrefix="0" xfId="0">
      <alignment vertical="center" wrapText="1"/>
      <protection locked="0" hidden="0"/>
    </xf>
    <xf numFmtId="0" fontId="19" fillId="0" borderId="24" applyAlignment="1" applyProtection="1" pivotButton="0" quotePrefix="0" xfId="0">
      <alignment vertical="center"/>
      <protection locked="0" hidden="0"/>
    </xf>
    <xf numFmtId="0" fontId="19" fillId="0" borderId="12" applyAlignment="1" applyProtection="1" pivotButton="0" quotePrefix="0" xfId="0">
      <alignment vertical="center"/>
      <protection locked="0" hidden="0"/>
    </xf>
    <xf numFmtId="0" fontId="19" fillId="0" borderId="25" applyAlignment="1" applyProtection="1" pivotButton="0" quotePrefix="0" xfId="0">
      <alignment vertical="center"/>
      <protection locked="0" hidden="0"/>
    </xf>
    <xf numFmtId="0" fontId="19" fillId="0" borderId="16" applyAlignment="1" applyProtection="1" pivotButton="0" quotePrefix="0" xfId="0">
      <alignment vertical="center"/>
      <protection locked="0" hidden="0"/>
    </xf>
    <xf numFmtId="0" fontId="19" fillId="0" borderId="17" applyAlignment="1" applyProtection="1" pivotButton="0" quotePrefix="0" xfId="0">
      <alignment vertical="center"/>
      <protection locked="0" hidden="0"/>
    </xf>
    <xf numFmtId="0" fontId="3" fillId="0" borderId="0" applyProtection="1" pivotButton="0" quotePrefix="0" xfId="0">
      <protection locked="0" hidden="0"/>
    </xf>
    <xf numFmtId="0" fontId="11" fillId="0" borderId="7" applyAlignment="1" applyProtection="1" pivotButton="0" quotePrefix="0" xfId="0">
      <alignment horizontal="center" vertical="center"/>
      <protection locked="0" hidden="0"/>
    </xf>
    <xf numFmtId="0" fontId="12" fillId="0" borderId="7" applyAlignment="1" applyProtection="1" pivotButton="0" quotePrefix="0" xfId="0">
      <alignment horizontal="center" vertical="center"/>
      <protection locked="0" hidden="0"/>
    </xf>
    <xf numFmtId="0" fontId="4" fillId="0" borderId="0" applyProtection="1" pivotButton="0" quotePrefix="0" xfId="0">
      <protection locked="0" hidden="0"/>
    </xf>
    <xf numFmtId="0" fontId="13" fillId="0" borderId="0" applyAlignment="1" applyProtection="1" pivotButton="0" quotePrefix="0" xfId="0">
      <alignment horizontal="right"/>
      <protection locked="0" hidden="0"/>
    </xf>
    <xf numFmtId="164" fontId="14" fillId="0" borderId="0" applyProtection="1" pivotButton="0" quotePrefix="0" xfId="1">
      <protection locked="0" hidden="0"/>
    </xf>
    <xf numFmtId="164" fontId="8" fillId="0" borderId="0" applyProtection="1" pivotButton="0" quotePrefix="0" xfId="1">
      <protection locked="0" hidden="0"/>
    </xf>
    <xf numFmtId="0" fontId="17" fillId="0" borderId="0" applyProtection="1" pivotButton="0" quotePrefix="0" xfId="0">
      <protection locked="0" hidden="0"/>
    </xf>
    <xf numFmtId="0" fontId="13" fillId="0" borderId="7" applyAlignment="1" pivotButton="0" quotePrefix="0" xfId="0">
      <alignment horizontal="right"/>
    </xf>
    <xf numFmtId="0" fontId="12" fillId="0" borderId="7" applyAlignment="1" applyProtection="1" pivotButton="0" quotePrefix="0" xfId="0">
      <alignment horizontal="center" vertical="center"/>
      <protection locked="0" hidden="0"/>
    </xf>
    <xf numFmtId="0" fontId="0" fillId="0" borderId="0" pivotButton="0" quotePrefix="0" xfId="0"/>
    <xf numFmtId="0" fontId="5" fillId="0" borderId="4" applyAlignment="1" pivotButton="0" quotePrefix="0" xfId="0">
      <alignment horizontal="center" vertical="center"/>
    </xf>
    <xf numFmtId="0" fontId="5" fillId="0" borderId="10" applyAlignment="1" pivotButton="0" quotePrefix="0" xfId="0">
      <alignment horizontal="center" vertical="center"/>
    </xf>
    <xf numFmtId="0" fontId="5" fillId="0" borderId="7" applyAlignment="1" pivotButton="0" quotePrefix="0" xfId="0">
      <alignment horizontal="center" vertical="center"/>
    </xf>
    <xf numFmtId="0" fontId="10" fillId="0" borderId="0" pivotButton="0" quotePrefix="0" xfId="0"/>
    <xf numFmtId="0" fontId="4" fillId="0" borderId="0" pivotButton="0" quotePrefix="0" xfId="0"/>
    <xf numFmtId="0" fontId="0" fillId="0" borderId="0" pivotButton="0" quotePrefix="0" xfId="0"/>
    <xf numFmtId="0" fontId="10" fillId="0" borderId="4" pivotButton="0" quotePrefix="0" xfId="0"/>
    <xf numFmtId="0" fontId="10" fillId="0" borderId="5" pivotButton="0" quotePrefix="0" xfId="0"/>
    <xf numFmtId="0" fontId="13" fillId="0" borderId="0" applyAlignment="1" pivotButton="0" quotePrefix="0" xfId="0">
      <alignment horizontal="right"/>
    </xf>
    <xf numFmtId="164" fontId="12" fillId="0" borderId="7" pivotButton="0" quotePrefix="0" xfId="1"/>
    <xf numFmtId="164" fontId="7" fillId="0" borderId="7" pivotButton="0" quotePrefix="0" xfId="1"/>
    <xf numFmtId="164" fontId="8" fillId="0" borderId="7" pivotButton="0" quotePrefix="0" xfId="1"/>
    <xf numFmtId="164" fontId="6" fillId="0" borderId="7" pivotButton="0" quotePrefix="0" xfId="1"/>
    <xf numFmtId="164" fontId="12" fillId="0" borderId="7" applyAlignment="1" pivotButton="0" quotePrefix="0" xfId="1">
      <alignment horizontal="center" vertical="center"/>
    </xf>
    <xf numFmtId="0" fontId="12" fillId="0" borderId="7" applyAlignment="1" pivotButton="0" quotePrefix="0" xfId="0">
      <alignment horizontal="left" vertical="center"/>
    </xf>
    <xf numFmtId="165" fontId="5" fillId="0" borderId="10" applyAlignment="1" pivotButton="0" quotePrefix="0" xfId="0">
      <alignment horizontal="center" vertical="center"/>
    </xf>
    <xf numFmtId="0" fontId="16" fillId="0" borderId="6" applyAlignment="1" pivotButton="0" quotePrefix="0" xfId="0">
      <alignment horizontal="center"/>
    </xf>
    <xf numFmtId="0" fontId="16" fillId="0" borderId="11" applyAlignment="1" pivotButton="0" quotePrefix="0" xfId="0">
      <alignment horizontal="center"/>
    </xf>
    <xf numFmtId="0" fontId="19" fillId="0" borderId="16" applyAlignment="1" applyProtection="1" pivotButton="0" quotePrefix="0" xfId="0">
      <alignment horizontal="center" vertical="center"/>
      <protection locked="0" hidden="0"/>
    </xf>
    <xf numFmtId="0" fontId="5" fillId="0" borderId="8" applyAlignment="1" pivotButton="0" quotePrefix="0" xfId="0">
      <alignment horizontal="center" vertical="center"/>
    </xf>
    <xf numFmtId="0" fontId="5" fillId="0" borderId="0" applyAlignment="1" applyProtection="1" pivotButton="0" quotePrefix="0" xfId="0">
      <alignment horizontal="center" vertical="center"/>
      <protection locked="0" hidden="0"/>
    </xf>
    <xf numFmtId="0" fontId="0" fillId="0" borderId="0" applyAlignment="1" pivotButton="0" quotePrefix="0" xfId="0">
      <alignment horizontal="center" vertical="center"/>
    </xf>
    <xf numFmtId="164" fontId="0" fillId="0" borderId="0" pivotButton="0" quotePrefix="0" xfId="1"/>
    <xf numFmtId="3" fontId="11" fillId="0" borderId="7" applyAlignment="1" applyProtection="1" pivotButton="0" quotePrefix="0" xfId="0">
      <alignment horizontal="center" vertical="center"/>
      <protection locked="0" hidden="0"/>
    </xf>
    <xf numFmtId="0" fontId="21" fillId="0" borderId="0" applyAlignment="1" applyProtection="1" pivotButton="0" quotePrefix="0" xfId="0">
      <alignment horizontal="center" vertical="center" wrapText="1"/>
      <protection locked="0" hidden="0"/>
    </xf>
    <xf numFmtId="164" fontId="14" fillId="0" borderId="0" pivotButton="0" quotePrefix="0" xfId="1"/>
    <xf numFmtId="0" fontId="3" fillId="0" borderId="0" pivotButton="0" quotePrefix="0" xfId="0"/>
    <xf numFmtId="164" fontId="13" fillId="0" borderId="28" applyAlignment="1" pivotButton="0" quotePrefix="0" xfId="0">
      <alignment horizontal="right"/>
    </xf>
    <xf numFmtId="164" fontId="13" fillId="0" borderId="27" applyAlignment="1" pivotButton="0" quotePrefix="0" xfId="0">
      <alignment horizontal="right"/>
    </xf>
    <xf numFmtId="0" fontId="4" fillId="0" borderId="0" applyProtection="1" pivotButton="0" quotePrefix="0" xfId="0">
      <protection locked="0" hidden="0"/>
    </xf>
    <xf numFmtId="0" fontId="16" fillId="0" borderId="0" pivotButton="0" quotePrefix="0" xfId="0"/>
    <xf numFmtId="0" fontId="2" fillId="0" borderId="0" pivotButton="0" quotePrefix="0" xfId="0"/>
    <xf numFmtId="0" fontId="5" fillId="0" borderId="26" applyAlignment="1" pivotButton="0" quotePrefix="0" xfId="0">
      <alignment horizontal="center" vertical="center"/>
    </xf>
    <xf numFmtId="0" fontId="5" fillId="0" borderId="27" applyAlignment="1" pivotButton="0" quotePrefix="0" xfId="0">
      <alignment horizontal="center" vertical="center"/>
    </xf>
    <xf numFmtId="0" fontId="19" fillId="0" borderId="15" applyAlignment="1" pivotButton="0" quotePrefix="0" xfId="0">
      <alignment vertical="center"/>
    </xf>
    <xf numFmtId="0" fontId="13" fillId="0" borderId="0" applyProtection="1" pivotButton="0" quotePrefix="0" xfId="0">
      <protection locked="0" hidden="0"/>
    </xf>
    <xf numFmtId="0" fontId="16" fillId="0" borderId="1" pivotButton="0" quotePrefix="0" xfId="0"/>
    <xf numFmtId="0" fontId="16" fillId="0" borderId="11" pivotButton="0" quotePrefix="0" xfId="0"/>
    <xf numFmtId="0" fontId="16" fillId="0" borderId="5" applyAlignment="1" pivotButton="0" quotePrefix="0" xfId="0">
      <alignment horizontal="center"/>
    </xf>
    <xf numFmtId="164" fontId="0" fillId="0" borderId="0" pivotButton="0" quotePrefix="0" xfId="1"/>
    <xf numFmtId="0" fontId="12" fillId="0" borderId="7" applyAlignment="1" pivotButton="0" quotePrefix="0" xfId="0">
      <alignment horizontal="center" vertical="center"/>
    </xf>
    <xf numFmtId="0" fontId="10" fillId="0" borderId="7" applyAlignment="1" applyProtection="1" pivotButton="0" quotePrefix="0" xfId="0">
      <alignment horizontal="center" vertical="center"/>
      <protection locked="0" hidden="0"/>
    </xf>
    <xf numFmtId="0" fontId="4" fillId="0" borderId="0" pivotButton="0" quotePrefix="0" xfId="0"/>
    <xf numFmtId="0" fontId="23" fillId="0" borderId="21" applyAlignment="1" pivotButton="0" quotePrefix="0" xfId="0">
      <alignment horizontal="center"/>
    </xf>
    <xf numFmtId="0" fontId="23" fillId="0" borderId="23" applyAlignment="1" pivotButton="0" quotePrefix="0" xfId="0">
      <alignment horizontal="center"/>
    </xf>
    <xf numFmtId="0" fontId="13" fillId="0" borderId="5" applyAlignment="1" pivotButton="0" quotePrefix="0" xfId="0">
      <alignment horizontal="center"/>
    </xf>
    <xf numFmtId="0" fontId="13" fillId="0" borderId="11" applyAlignment="1" pivotButton="0" quotePrefix="0" xfId="0">
      <alignment horizontal="center"/>
    </xf>
    <xf numFmtId="0" fontId="9" fillId="2" borderId="0" applyAlignment="1" pivotButton="0" quotePrefix="0" xfId="0">
      <alignment horizontal="center" vertical="center"/>
    </xf>
    <xf numFmtId="0" fontId="9" fillId="2" borderId="1" applyAlignment="1" pivotButton="0" quotePrefix="0" xfId="0">
      <alignment horizontal="center" vertical="center"/>
    </xf>
    <xf numFmtId="0" fontId="21" fillId="0" borderId="0" applyAlignment="1" applyProtection="1" pivotButton="0" quotePrefix="0" xfId="0">
      <alignment horizontal="center" vertical="center" wrapText="1"/>
      <protection locked="0" hidden="0"/>
    </xf>
    <xf numFmtId="0" fontId="5" fillId="0" borderId="8" applyAlignment="1" pivotButton="0" quotePrefix="0" xfId="0">
      <alignment horizontal="center" vertical="center"/>
    </xf>
    <xf numFmtId="0" fontId="5" fillId="0" borderId="14" applyAlignment="1" pivotButton="0" quotePrefix="0" xfId="0">
      <alignment horizontal="center" vertical="center"/>
    </xf>
    <xf numFmtId="0" fontId="5" fillId="0" borderId="9" applyAlignment="1" pivotButton="0" quotePrefix="0" xfId="0">
      <alignment horizontal="center" vertical="center"/>
    </xf>
    <xf numFmtId="0" fontId="5" fillId="0" borderId="3" applyAlignment="1" applyProtection="1" pivotButton="0" quotePrefix="0" xfId="0">
      <alignment horizontal="center" vertical="center"/>
      <protection locked="0" hidden="0"/>
    </xf>
    <xf numFmtId="0" fontId="5" fillId="0" borderId="13" applyAlignment="1" applyProtection="1" pivotButton="0" quotePrefix="0" xfId="0">
      <alignment horizontal="center" vertical="center"/>
      <protection locked="0" hidden="0"/>
    </xf>
    <xf numFmtId="0" fontId="5" fillId="0" borderId="2" applyAlignment="1" applyProtection="1" pivotButton="0" quotePrefix="0" xfId="0">
      <alignment horizontal="center" vertical="center"/>
      <protection locked="0" hidden="0"/>
    </xf>
    <xf numFmtId="0" fontId="5" fillId="0" borderId="4" applyAlignment="1" applyProtection="1" pivotButton="0" quotePrefix="0" xfId="0">
      <alignment horizontal="center" vertical="center"/>
      <protection locked="0" hidden="0"/>
    </xf>
    <xf numFmtId="0" fontId="5" fillId="0" borderId="1" applyAlignment="1" applyProtection="1" pivotButton="0" quotePrefix="0" xfId="0">
      <alignment horizontal="center" vertical="center"/>
      <protection locked="0" hidden="0"/>
    </xf>
    <xf numFmtId="0" fontId="5" fillId="0" borderId="0" applyAlignment="1" applyProtection="1" pivotButton="0" quotePrefix="0" xfId="0">
      <alignment horizontal="center" vertical="center"/>
      <protection locked="0" hidden="0"/>
    </xf>
    <xf numFmtId="0" fontId="5" fillId="0" borderId="5" applyAlignment="1" applyProtection="1" pivotButton="0" quotePrefix="0" xfId="0">
      <alignment horizontal="center" vertical="center"/>
      <protection locked="0" hidden="0"/>
    </xf>
    <xf numFmtId="0" fontId="5" fillId="0" borderId="11" applyAlignment="1" applyProtection="1" pivotButton="0" quotePrefix="0" xfId="0">
      <alignment horizontal="center" vertical="center"/>
      <protection locked="0" hidden="0"/>
    </xf>
    <xf numFmtId="0" fontId="5" fillId="0" borderId="6" applyAlignment="1" applyProtection="1" pivotButton="0" quotePrefix="0" xfId="0">
      <alignment horizontal="center" vertical="center"/>
      <protection locked="0" hidden="0"/>
    </xf>
    <xf numFmtId="0" fontId="5" fillId="0" borderId="2" applyAlignment="1" pivotButton="0" quotePrefix="0" xfId="0">
      <alignment horizontal="center" vertical="center"/>
    </xf>
    <xf numFmtId="0" fontId="5" fillId="0" borderId="13" applyAlignment="1" pivotButton="0" quotePrefix="0" xfId="0">
      <alignment horizontal="center" vertical="center"/>
    </xf>
    <xf numFmtId="0" fontId="19" fillId="0" borderId="3" applyAlignment="1" applyProtection="1" pivotButton="0" quotePrefix="0" xfId="0">
      <alignment horizontal="left"/>
      <protection locked="0" hidden="0"/>
    </xf>
    <xf numFmtId="0" fontId="19" fillId="0" borderId="2" applyAlignment="1" applyProtection="1" pivotButton="0" quotePrefix="0" xfId="0">
      <alignment horizontal="left"/>
      <protection locked="0" hidden="0"/>
    </xf>
    <xf numFmtId="0" fontId="19" fillId="0" borderId="13" applyAlignment="1" applyProtection="1" pivotButton="0" quotePrefix="0" xfId="0">
      <alignment horizontal="left"/>
      <protection locked="0" hidden="0"/>
    </xf>
    <xf numFmtId="0" fontId="19" fillId="0" borderId="4" applyAlignment="1" applyProtection="1" pivotButton="0" quotePrefix="0" xfId="0">
      <alignment horizontal="left"/>
      <protection locked="0" hidden="0"/>
    </xf>
    <xf numFmtId="0" fontId="19" fillId="0" borderId="0" applyAlignment="1" applyProtection="1" pivotButton="0" quotePrefix="0" xfId="0">
      <alignment horizontal="left"/>
      <protection locked="0" hidden="0"/>
    </xf>
    <xf numFmtId="0" fontId="19" fillId="0" borderId="1" applyAlignment="1" applyProtection="1" pivotButton="0" quotePrefix="0" xfId="0">
      <alignment horizontal="left"/>
      <protection locked="0" hidden="0"/>
    </xf>
    <xf numFmtId="0" fontId="20" fillId="0" borderId="4" applyAlignment="1" applyProtection="1" pivotButton="0" quotePrefix="0" xfId="0">
      <alignment horizontal="left"/>
      <protection locked="0" hidden="0"/>
    </xf>
    <xf numFmtId="0" fontId="20" fillId="0" borderId="0" applyAlignment="1" applyProtection="1" pivotButton="0" quotePrefix="0" xfId="0">
      <alignment horizontal="left"/>
      <protection locked="0" hidden="0"/>
    </xf>
    <xf numFmtId="0" fontId="20" fillId="0" borderId="1" applyAlignment="1" applyProtection="1" pivotButton="0" quotePrefix="0" xfId="0">
      <alignment horizontal="left"/>
      <protection locked="0" hidden="0"/>
    </xf>
    <xf numFmtId="0" fontId="5" fillId="0" borderId="3" applyAlignment="1" pivotButton="0" quotePrefix="0" xfId="0">
      <alignment horizontal="center" vertical="center"/>
    </xf>
    <xf numFmtId="0" fontId="5" fillId="0" borderId="4" applyAlignment="1" pivotButton="0" quotePrefix="0" xfId="0">
      <alignment horizontal="center" vertical="center"/>
    </xf>
    <xf numFmtId="0" fontId="5" fillId="0" borderId="0" applyAlignment="1" pivotButton="0" quotePrefix="0" xfId="0">
      <alignment horizontal="center" vertical="center"/>
    </xf>
    <xf numFmtId="0" fontId="5" fillId="0" borderId="1" applyAlignment="1" pivotButton="0" quotePrefix="0" xfId="0">
      <alignment horizontal="center" vertical="center"/>
    </xf>
    <xf numFmtId="0" fontId="5" fillId="0" borderId="5" applyAlignment="1" pivotButton="0" quotePrefix="0" xfId="0">
      <alignment horizontal="center" vertical="center"/>
    </xf>
    <xf numFmtId="0" fontId="5" fillId="0" borderId="6" applyAlignment="1" pivotButton="0" quotePrefix="0" xfId="0">
      <alignment horizontal="center" vertical="center"/>
    </xf>
    <xf numFmtId="0" fontId="5" fillId="0" borderId="11" applyAlignment="1" pivotButton="0" quotePrefix="0" xfId="0">
      <alignment horizontal="center" vertical="center"/>
    </xf>
    <xf numFmtId="0" fontId="18" fillId="0" borderId="8" applyAlignment="1" pivotButton="0" quotePrefix="0" xfId="0">
      <alignment horizontal="center" vertical="center"/>
    </xf>
    <xf numFmtId="0" fontId="18" fillId="0" borderId="9" applyAlignment="1" pivotButton="0" quotePrefix="0" xfId="0">
      <alignment horizontal="center" vertical="center"/>
    </xf>
    <xf numFmtId="0" fontId="18" fillId="0" borderId="14" applyAlignment="1" pivotButton="0" quotePrefix="0" xfId="0">
      <alignment horizontal="center" vertical="center"/>
    </xf>
    <xf numFmtId="0" fontId="18" fillId="0" borderId="3" applyAlignment="1" pivotButton="0" quotePrefix="0" xfId="0">
      <alignment horizontal="center" vertical="center"/>
    </xf>
    <xf numFmtId="0" fontId="18" fillId="0" borderId="13" applyAlignment="1" pivotButton="0" quotePrefix="0" xfId="0">
      <alignment horizontal="center" vertical="center"/>
    </xf>
    <xf numFmtId="0" fontId="15" fillId="2" borderId="0" applyAlignment="1" pivotButton="0" quotePrefix="0" xfId="0">
      <alignment horizontal="center" vertical="center"/>
    </xf>
    <xf numFmtId="0" fontId="15" fillId="2" borderId="1" applyAlignment="1" pivotButton="0" quotePrefix="0" xfId="0">
      <alignment horizontal="center" vertical="center"/>
    </xf>
    <xf numFmtId="0" fontId="0" fillId="0" borderId="0" applyAlignment="1" pivotButton="0" quotePrefix="0" xfId="0">
      <alignment horizontal="center"/>
    </xf>
    <xf numFmtId="0" fontId="24" fillId="0" borderId="0" applyAlignment="1" pivotButton="0" quotePrefix="0" xfId="0">
      <alignment horizontal="left"/>
    </xf>
    <xf numFmtId="0" fontId="18" fillId="0" borderId="2" applyAlignment="1" pivotButton="0" quotePrefix="0" xfId="0">
      <alignment horizontal="center" vertical="center"/>
    </xf>
    <xf numFmtId="0" fontId="10" fillId="0" borderId="4" applyAlignment="1" pivotButton="0" quotePrefix="0" xfId="0">
      <alignment horizontal="left" vertical="center"/>
    </xf>
    <xf numFmtId="0" fontId="10" fillId="0" borderId="0" applyAlignment="1" pivotButton="0" quotePrefix="0" xfId="0">
      <alignment horizontal="left" vertical="center"/>
    </xf>
    <xf numFmtId="0" fontId="10" fillId="0" borderId="1" applyAlignment="1" pivotButton="0" quotePrefix="0" xfId="0">
      <alignment horizontal="left" vertical="center"/>
    </xf>
    <xf numFmtId="0" fontId="10" fillId="0" borderId="4" applyAlignment="1" pivotButton="0" quotePrefix="0" xfId="0">
      <alignment horizontal="center"/>
    </xf>
    <xf numFmtId="0" fontId="10" fillId="0" borderId="0" applyAlignment="1" pivotButton="0" quotePrefix="0" xfId="0">
      <alignment horizontal="center"/>
    </xf>
    <xf numFmtId="0" fontId="10" fillId="0" borderId="1" applyAlignment="1" pivotButton="0" quotePrefix="0" xfId="0">
      <alignment horizontal="center"/>
    </xf>
    <xf numFmtId="0" fontId="5" fillId="0" borderId="14" applyAlignment="1" applyProtection="1" pivotButton="0" quotePrefix="0" xfId="0">
      <alignment horizontal="center" vertical="center"/>
      <protection locked="0" hidden="0"/>
    </xf>
    <xf numFmtId="0" fontId="22" fillId="0" borderId="0" applyAlignment="1" pivotButton="0" quotePrefix="0" xfId="0">
      <alignment horizontal="left" vertical="center"/>
    </xf>
    <xf numFmtId="0" fontId="19" fillId="0" borderId="21" applyAlignment="1" pivotButton="0" quotePrefix="0" xfId="0">
      <alignment horizontal="center" vertical="center"/>
    </xf>
    <xf numFmtId="0" fontId="19" fillId="0" borderId="22" applyAlignment="1" pivotButton="0" quotePrefix="0" xfId="0">
      <alignment horizontal="center" vertical="center"/>
    </xf>
    <xf numFmtId="0" fontId="19" fillId="0" borderId="23" applyAlignment="1" pivotButton="0" quotePrefix="0" xfId="0">
      <alignment horizontal="center" vertical="center"/>
    </xf>
    <xf numFmtId="0" fontId="19" fillId="0" borderId="12" applyAlignment="1" applyProtection="1" pivotButton="0" quotePrefix="0" xfId="0">
      <alignment horizontal="left" vertical="center"/>
      <protection locked="0" hidden="0"/>
    </xf>
    <xf numFmtId="0" fontId="19" fillId="0" borderId="18" applyAlignment="1" applyProtection="1" pivotButton="0" quotePrefix="0" xfId="0">
      <alignment horizontal="left" vertical="center"/>
      <protection locked="0" hidden="0"/>
    </xf>
    <xf numFmtId="0" fontId="19" fillId="0" borderId="19" applyAlignment="1" applyProtection="1" pivotButton="0" quotePrefix="0" xfId="0">
      <alignment horizontal="left" vertical="center"/>
      <protection locked="0" hidden="0"/>
    </xf>
    <xf numFmtId="0" fontId="19" fillId="0" borderId="20" applyAlignment="1" applyProtection="1" pivotButton="0" quotePrefix="0" xfId="0">
      <alignment horizontal="left" vertical="center"/>
      <protection locked="0" hidden="0"/>
    </xf>
    <xf numFmtId="0" fontId="19" fillId="0" borderId="5" applyAlignment="1" applyProtection="1" pivotButton="0" quotePrefix="0" xfId="0">
      <alignment horizontal="left"/>
      <protection locked="0" hidden="0"/>
    </xf>
    <xf numFmtId="0" fontId="19" fillId="0" borderId="6" applyAlignment="1" applyProtection="1" pivotButton="0" quotePrefix="0" xfId="0">
      <alignment horizontal="left"/>
      <protection locked="0" hidden="0"/>
    </xf>
    <xf numFmtId="0" fontId="19" fillId="0" borderId="11" applyAlignment="1" applyProtection="1" pivotButton="0" quotePrefix="0" xfId="0">
      <alignment horizontal="left"/>
      <protection locked="0" hidden="0"/>
    </xf>
    <xf numFmtId="0" fontId="25" fillId="0" borderId="0" pivotButton="0" quotePrefix="0" xfId="0"/>
    <xf numFmtId="0" fontId="25" fillId="0" borderId="0" applyProtection="1" pivotButton="0" quotePrefix="0" xfId="0">
      <protection locked="0" hidden="0"/>
    </xf>
    <xf numFmtId="0" fontId="26" fillId="0" borderId="0" applyAlignment="1" applyProtection="1" pivotButton="0" quotePrefix="0" xfId="0">
      <alignment horizontal="left"/>
      <protection locked="0" hidden="0"/>
    </xf>
    <xf numFmtId="0" fontId="0" fillId="0" borderId="1" pivotButton="0" quotePrefix="0" xfId="0"/>
    <xf numFmtId="165" fontId="5" fillId="0" borderId="10" applyAlignment="1" pivotButton="0" quotePrefix="0" xfId="0">
      <alignment horizontal="center" vertical="center"/>
    </xf>
    <xf numFmtId="0" fontId="0" fillId="0" borderId="14" pivotButton="0" quotePrefix="0" xfId="0"/>
    <xf numFmtId="0" fontId="0" fillId="0" borderId="9" pivotButton="0" quotePrefix="0" xfId="0"/>
    <xf numFmtId="0" fontId="5" fillId="0" borderId="30" applyAlignment="1" applyProtection="1" pivotButton="0" quotePrefix="0" xfId="0">
      <alignment horizontal="center" vertical="center"/>
      <protection locked="0" hidden="0"/>
    </xf>
    <xf numFmtId="0" fontId="0" fillId="0" borderId="13" applyProtection="1" pivotButton="0" quotePrefix="0" xfId="0">
      <protection locked="0" hidden="0"/>
    </xf>
    <xf numFmtId="0" fontId="0" fillId="0" borderId="2" pivotButton="0" quotePrefix="0" xfId="0"/>
    <xf numFmtId="0" fontId="0" fillId="0" borderId="13" pivotButton="0" quotePrefix="0" xfId="0"/>
    <xf numFmtId="0" fontId="0" fillId="0" borderId="2" applyProtection="1" pivotButton="0" quotePrefix="0" xfId="0">
      <protection locked="0" hidden="0"/>
    </xf>
    <xf numFmtId="0" fontId="5" fillId="0" borderId="26" applyAlignment="1" applyProtection="1" pivotButton="0" quotePrefix="0" xfId="0">
      <alignment horizontal="center" vertical="center"/>
      <protection locked="0" hidden="0"/>
    </xf>
    <xf numFmtId="0" fontId="0" fillId="0" borderId="1" applyProtection="1" pivotButton="0" quotePrefix="0" xfId="0">
      <protection locked="0" hidden="0"/>
    </xf>
    <xf numFmtId="0" fontId="0" fillId="0" borderId="4" pivotButton="0" quotePrefix="0" xfId="0"/>
    <xf numFmtId="0" fontId="5" fillId="0" borderId="27" applyAlignment="1" applyProtection="1" pivotButton="0" quotePrefix="0" xfId="0">
      <alignment horizontal="center" vertical="center"/>
      <protection locked="0" hidden="0"/>
    </xf>
    <xf numFmtId="0" fontId="0" fillId="0" borderId="11" applyProtection="1" pivotButton="0" quotePrefix="0" xfId="0">
      <protection locked="0" hidden="0"/>
    </xf>
    <xf numFmtId="0" fontId="0" fillId="0" borderId="5" pivotButton="0" quotePrefix="0" xfId="0"/>
    <xf numFmtId="0" fontId="0" fillId="0" borderId="6" pivotButton="0" quotePrefix="0" xfId="0"/>
    <xf numFmtId="0" fontId="0" fillId="0" borderId="11" pivotButton="0" quotePrefix="0" xfId="0"/>
    <xf numFmtId="0" fontId="0" fillId="0" borderId="6" applyProtection="1" pivotButton="0" quotePrefix="0" xfId="0">
      <protection locked="0" hidden="0"/>
    </xf>
    <xf numFmtId="0" fontId="19" fillId="0" borderId="30" applyAlignment="1" applyProtection="1" pivotButton="0" quotePrefix="0" xfId="0">
      <alignment horizontal="left"/>
      <protection locked="0" hidden="0"/>
    </xf>
    <xf numFmtId="0" fontId="19" fillId="0" borderId="26" applyAlignment="1" applyProtection="1" pivotButton="0" quotePrefix="0" xfId="0">
      <alignment horizontal="left"/>
      <protection locked="0" hidden="0"/>
    </xf>
    <xf numFmtId="0" fontId="20" fillId="0" borderId="26" applyAlignment="1" applyProtection="1" pivotButton="0" quotePrefix="0" xfId="0">
      <alignment horizontal="left"/>
      <protection locked="0" hidden="0"/>
    </xf>
    <xf numFmtId="0" fontId="19" fillId="0" borderId="27" applyAlignment="1" applyProtection="1" pivotButton="0" quotePrefix="0" xfId="0">
      <alignment horizontal="left"/>
      <protection locked="0" hidden="0"/>
    </xf>
    <xf numFmtId="0" fontId="0" fillId="0" borderId="14" applyProtection="1" pivotButton="0" quotePrefix="0" xfId="0">
      <protection locked="0" hidden="0"/>
    </xf>
    <xf numFmtId="0" fontId="19" fillId="0" borderId="28" applyAlignment="1" pivotButton="0" quotePrefix="0" xfId="0">
      <alignment horizontal="center" vertical="center"/>
    </xf>
    <xf numFmtId="0" fontId="0" fillId="0" borderId="22" pivotButton="0" quotePrefix="0" xfId="0"/>
    <xf numFmtId="0" fontId="0" fillId="0" borderId="23" pivotButton="0" quotePrefix="0" xfId="0"/>
    <xf numFmtId="0" fontId="19" fillId="0" borderId="31" applyAlignment="1" pivotButton="0" quotePrefix="0" xfId="0">
      <alignment vertical="center"/>
    </xf>
    <xf numFmtId="0" fontId="19" fillId="0" borderId="31" applyAlignment="1" applyProtection="1" pivotButton="0" quotePrefix="0" xfId="0">
      <alignment horizontal="center" vertical="center"/>
      <protection locked="0" hidden="0"/>
    </xf>
    <xf numFmtId="0" fontId="19" fillId="0" borderId="31" applyAlignment="1" applyProtection="1" pivotButton="0" quotePrefix="0" xfId="0">
      <alignment horizontal="left" vertical="center"/>
      <protection locked="0" hidden="0"/>
    </xf>
    <xf numFmtId="0" fontId="0" fillId="0" borderId="31" pivotButton="0" quotePrefix="0" xfId="0"/>
    <xf numFmtId="0" fontId="19" fillId="0" borderId="31" applyAlignment="1" applyProtection="1" pivotButton="0" quotePrefix="0" xfId="0">
      <alignment vertical="center"/>
      <protection locked="0" hidden="0"/>
    </xf>
    <xf numFmtId="0" fontId="19" fillId="0" borderId="29" applyAlignment="1" applyProtection="1" pivotButton="0" quotePrefix="0" xfId="0">
      <alignment horizontal="left" vertical="center"/>
      <protection locked="0" hidden="0"/>
    </xf>
    <xf numFmtId="0" fontId="0" fillId="0" borderId="19" applyProtection="1" pivotButton="0" quotePrefix="0" xfId="0">
      <protection locked="0" hidden="0"/>
    </xf>
    <xf numFmtId="0" fontId="0" fillId="0" borderId="20" applyProtection="1" pivotButton="0" quotePrefix="0" xfId="0">
      <protection locked="0" hidden="0"/>
    </xf>
    <xf numFmtId="0" fontId="12" fillId="0" borderId="7" applyAlignment="1" pivotButton="0" quotePrefix="0" xfId="1">
      <alignment horizontal="center" vertical="center"/>
    </xf>
    <xf numFmtId="0" fontId="12" fillId="0" borderId="7" pivotButton="0" quotePrefix="0" xfId="1"/>
    <xf numFmtId="0" fontId="7" fillId="0" borderId="7" pivotButton="0" quotePrefix="0" xfId="1"/>
    <xf numFmtId="0" fontId="3" fillId="0" borderId="31" applyProtection="1" pivotButton="0" quotePrefix="0" xfId="0">
      <protection locked="0" hidden="0"/>
    </xf>
    <xf numFmtId="0" fontId="5" fillId="0" borderId="31" applyAlignment="1" pivotButton="0" quotePrefix="0" xfId="0">
      <alignment horizontal="center" vertical="center"/>
    </xf>
    <xf numFmtId="0" fontId="5" fillId="0" borderId="31" applyAlignment="1" applyProtection="1" pivotButton="0" quotePrefix="0" xfId="0">
      <alignment horizontal="center" vertical="center"/>
      <protection locked="0" hidden="0"/>
    </xf>
    <xf numFmtId="0" fontId="3" fillId="0" borderId="31" pivotButton="0" quotePrefix="0" xfId="0"/>
    <xf numFmtId="0" fontId="8" fillId="0" borderId="7" pivotButton="0" quotePrefix="0" xfId="1"/>
    <xf numFmtId="0" fontId="13" fillId="0" borderId="31" applyProtection="1" pivotButton="0" quotePrefix="0" xfId="0">
      <protection locked="0" hidden="0"/>
    </xf>
    <xf numFmtId="0" fontId="17" fillId="0" borderId="31" applyProtection="1" pivotButton="0" quotePrefix="0" xfId="0">
      <protection locked="0" hidden="0"/>
    </xf>
    <xf numFmtId="0" fontId="6" fillId="0" borderId="7" pivotButton="0" quotePrefix="0" xfId="1"/>
    <xf numFmtId="0" fontId="4" fillId="0" borderId="31" applyProtection="1" pivotButton="0" quotePrefix="0" xfId="0">
      <protection locked="0" hidden="0"/>
    </xf>
    <xf numFmtId="0" fontId="4" fillId="0" borderId="31" pivotButton="0" quotePrefix="0" xfId="0"/>
    <xf numFmtId="164" fontId="14" fillId="0" borderId="0" pivotButton="0" quotePrefix="0" xfId="1"/>
    <xf numFmtId="164" fontId="14" fillId="0" borderId="0" applyProtection="1" pivotButton="0" quotePrefix="0" xfId="1">
      <protection locked="0" hidden="0"/>
    </xf>
    <xf numFmtId="0" fontId="18" fillId="0" borderId="10" applyAlignment="1" pivotButton="0" quotePrefix="0" xfId="0">
      <alignment horizontal="center" vertical="center"/>
    </xf>
    <xf numFmtId="0" fontId="23" fillId="0" borderId="28" applyAlignment="1" pivotButton="0" quotePrefix="0" xfId="0">
      <alignment horizontal="center"/>
    </xf>
    <xf numFmtId="164" fontId="13" fillId="0" borderId="28" applyAlignment="1" pivotButton="0" quotePrefix="0" xfId="0">
      <alignment horizontal="right"/>
    </xf>
    <xf numFmtId="0" fontId="13" fillId="0" borderId="27" applyAlignment="1" pivotButton="0" quotePrefix="0" xfId="0">
      <alignment horizontal="center"/>
    </xf>
    <xf numFmtId="164" fontId="13" fillId="0" borderId="27" applyAlignment="1" pivotButton="0" quotePrefix="0" xfId="0">
      <alignment horizontal="right"/>
    </xf>
    <xf numFmtId="164" fontId="8" fillId="0" borderId="0" applyProtection="1" pivotButton="0" quotePrefix="0" xfId="1">
      <protection locked="0" hidden="0"/>
    </xf>
    <xf numFmtId="0" fontId="18" fillId="0" borderId="30" applyAlignment="1" pivotButton="0" quotePrefix="0" xfId="0">
      <alignment horizontal="center" vertical="center"/>
    </xf>
    <xf numFmtId="0" fontId="10" fillId="0" borderId="26" applyAlignment="1" pivotButton="0" quotePrefix="0" xfId="0">
      <alignment horizontal="center"/>
    </xf>
    <xf numFmtId="0" fontId="10" fillId="0" borderId="26" applyAlignment="1" pivotButton="0" quotePrefix="0" xfId="0">
      <alignment horizontal="left" vertical="center"/>
    </xf>
    <xf numFmtId="164" fontId="0" fillId="0" borderId="0" pivotButton="0" quotePrefix="0" xfId="1"/>
  </cellXfs>
  <cellStyles count="2">
    <cellStyle name="Normal" xfId="0" builtinId="0"/>
    <cellStyle name="ParaBirimi" xfId="1" builtinId="4"/>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s>
</file>

<file path=xl/drawings/_rels/drawing1.xml.rels><Relationships xmlns="http://schemas.openxmlformats.org/package/2006/relationships"><Relationship Type="http://schemas.openxmlformats.org/officeDocument/2006/relationships/image" Target="/xl/media/image1.png" Id="rId1"/><Relationship Type="http://schemas.openxmlformats.org/officeDocument/2006/relationships/image" Target="/xl/media/image2.png" Id="rId2"/><Relationship Type="http://schemas.openxmlformats.org/officeDocument/2006/relationships/image" Target="/xl/media/image3.png" Id="rId3"/><Relationship Type="http://schemas.openxmlformats.org/officeDocument/2006/relationships/image" Target="/xl/media/image4.png" Id="rId4"/><Relationship Type="http://schemas.openxmlformats.org/officeDocument/2006/relationships/image" Target="/xl/media/image5.png" Id="rId5"/><Relationship Type="http://schemas.openxmlformats.org/officeDocument/2006/relationships/image" Target="/xl/media/image6.png" Id="rId6"/></Relationships>
</file>

<file path=xl/drawings/drawing1.xml><?xml version="1.0" encoding="utf-8"?>
<wsDr xmlns="http://schemas.openxmlformats.org/drawingml/2006/spreadsheetDrawing">
  <twoCellAnchor editAs="oneCell">
    <from>
      <col>1</col>
      <colOff>168890</colOff>
      <row>0</row>
      <rowOff>115260</rowOff>
    </from>
    <to>
      <col>3</col>
      <colOff>693966</colOff>
      <row>9</row>
      <rowOff>58266</rowOff>
    </to>
    <pic>
      <nvPicPr>
        <cNvPr id="2" name="Resim 1"/>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l="1972" t="16371" b="28205"/>
        <a:stretch xmlns:a="http://schemas.openxmlformats.org/drawingml/2006/main">
          <a:fillRect/>
        </a:stretch>
      </blipFill>
      <spPr>
        <a:xfrm xmlns:a="http://schemas.openxmlformats.org/drawingml/2006/main">
          <a:off x="264140" y="115260"/>
          <a:ext cx="2933540" cy="1657506"/>
        </a:xfrm>
        <a:prstGeom xmlns:a="http://schemas.openxmlformats.org/drawingml/2006/main" prst="rect">
          <avLst/>
        </a:prstGeom>
        <a:ln xmlns:a="http://schemas.openxmlformats.org/drawingml/2006/main">
          <a:prstDash val="solid"/>
        </a:ln>
      </spPr>
    </pic>
    <clientData/>
  </twoCellAnchor>
  <twoCellAnchor editAs="oneCell">
    <from>
      <col>11</col>
      <colOff>304960</colOff>
      <row>0</row>
      <rowOff>155280</rowOff>
    </from>
    <to>
      <col>12</col>
      <colOff>2192203</colOff>
      <row>10</row>
      <rowOff>26631</rowOff>
    </to>
    <pic>
      <nvPicPr>
        <cNvPr id="3" name="Resim 2"/>
        <cNvPicPr>
          <a:picLocks xmlns:a="http://schemas.openxmlformats.org/drawingml/2006/main" noChangeAspect="1"/>
        </cNvPicPr>
      </nvPicPr>
      <blipFill rotWithShape="1">
        <a:blip xmlns:a="http://schemas.openxmlformats.org/drawingml/2006/main" xmlns:r="http://schemas.openxmlformats.org/officeDocument/2006/relationships" cstate="print" r:embed="rId2"/>
        <a:srcRect xmlns:a="http://schemas.openxmlformats.org/drawingml/2006/main" l="5559" t="20957" r="9571" b="18567"/>
        <a:stretch xmlns:a="http://schemas.openxmlformats.org/drawingml/2006/main">
          <a:fillRect/>
        </a:stretch>
      </blipFill>
      <spPr>
        <a:xfrm xmlns:a="http://schemas.openxmlformats.org/drawingml/2006/main">
          <a:off x="16279746" y="155280"/>
          <a:ext cx="4037171" cy="1776351"/>
        </a:xfrm>
        <a:prstGeom xmlns:a="http://schemas.openxmlformats.org/drawingml/2006/main" prst="rect">
          <avLst/>
        </a:prstGeom>
        <a:ln xmlns:a="http://schemas.openxmlformats.org/drawingml/2006/main">
          <a:prstDash val="solid"/>
        </a:ln>
      </spPr>
    </pic>
    <clientData/>
  </twoCellAnchor>
  <twoCellAnchor editAs="oneCell">
    <from>
      <col>2</col>
      <colOff>1455964</colOff>
      <row>94</row>
      <rowOff>108857</rowOff>
    </from>
    <to>
      <col>12</col>
      <colOff>40822</colOff>
      <row>98</row>
      <rowOff>93609</rowOff>
    </to>
    <pic>
      <nvPicPr>
        <cNvPr id="4" name="Resim 3"/>
        <cNvPicPr>
          <a:picLocks xmlns:a="http://schemas.openxmlformats.org/drawingml/2006/main" noChangeAspect="1"/>
        </cNvPicPr>
      </nvPicPr>
      <blipFill rotWithShape="1">
        <a:blip xmlns:a="http://schemas.openxmlformats.org/drawingml/2006/main" xmlns:r="http://schemas.openxmlformats.org/officeDocument/2006/relationships" cstate="print" r:embed="rId3"/>
        <a:srcRect xmlns:a="http://schemas.openxmlformats.org/drawingml/2006/main" t="71298"/>
        <a:stretch xmlns:a="http://schemas.openxmlformats.org/drawingml/2006/main">
          <a:fillRect/>
        </a:stretch>
      </blipFill>
      <spPr>
        <a:xfrm xmlns:a="http://schemas.openxmlformats.org/drawingml/2006/main">
          <a:off x="1918607" y="30275893"/>
          <a:ext cx="16246929" cy="1345466"/>
        </a:xfrm>
        <a:prstGeom xmlns:a="http://schemas.openxmlformats.org/drawingml/2006/main" prst="rect">
          <avLst/>
        </a:prstGeom>
        <a:ln xmlns:a="http://schemas.openxmlformats.org/drawingml/2006/main">
          <a:prstDash val="solid"/>
        </a:ln>
      </spPr>
    </pic>
    <clientData/>
  </twoCellAnchor>
  <twoCellAnchor editAs="oneCell">
    <from>
      <col>3</col>
      <colOff>1537608</colOff>
      <row>50</row>
      <rowOff>146260</rowOff>
    </from>
    <to>
      <col>10</col>
      <colOff>598715</colOff>
      <row>53</row>
      <rowOff>107216</rowOff>
    </to>
    <pic>
      <nvPicPr>
        <cNvPr id="25" name="Resim 24"/>
        <cNvPicPr>
          <a:picLocks xmlns:a="http://schemas.openxmlformats.org/drawingml/2006/main" noChangeAspect="1"/>
        </cNvPicPr>
      </nvPicPr>
      <blipFill rotWithShape="1">
        <a:blip xmlns:a="http://schemas.openxmlformats.org/drawingml/2006/main" xmlns:r="http://schemas.openxmlformats.org/officeDocument/2006/relationships" cstate="print" r:embed="rId4"/>
        <a:srcRect xmlns:a="http://schemas.openxmlformats.org/drawingml/2006/main" t="71298"/>
        <a:stretch xmlns:a="http://schemas.openxmlformats.org/drawingml/2006/main">
          <a:fillRect/>
        </a:stretch>
      </blipFill>
      <spPr>
        <a:xfrm xmlns:a="http://schemas.openxmlformats.org/drawingml/2006/main">
          <a:off x="4041322" y="15386260"/>
          <a:ext cx="11851822" cy="981492"/>
        </a:xfrm>
        <a:prstGeom xmlns:a="http://schemas.openxmlformats.org/drawingml/2006/main" prst="rect">
          <avLst/>
        </a:prstGeom>
        <a:ln xmlns:a="http://schemas.openxmlformats.org/drawingml/2006/main">
          <a:prstDash val="solid"/>
        </a:ln>
      </spPr>
    </pic>
    <clientData/>
  </twoCellAnchor>
  <twoCellAnchor editAs="oneCell">
    <from>
      <col>1</col>
      <colOff>163285</colOff>
      <row>56</row>
      <rowOff>108858</rowOff>
    </from>
    <to>
      <col>3</col>
      <colOff>688361</colOff>
      <row>61</row>
      <rowOff>65471</rowOff>
    </to>
    <pic>
      <nvPicPr>
        <cNvPr id="27" name="Resim 26"/>
        <cNvPicPr>
          <a:picLocks xmlns:a="http://schemas.openxmlformats.org/drawingml/2006/main" noChangeAspect="1"/>
        </cNvPicPr>
      </nvPicPr>
      <blipFill rotWithShape="1">
        <a:blip xmlns:a="http://schemas.openxmlformats.org/drawingml/2006/main" xmlns:r="http://schemas.openxmlformats.org/officeDocument/2006/relationships" cstate="print" r:embed="rId5"/>
        <a:srcRect xmlns:a="http://schemas.openxmlformats.org/drawingml/2006/main" l="1972" t="16371" b="28205"/>
        <a:stretch xmlns:a="http://schemas.openxmlformats.org/drawingml/2006/main">
          <a:fillRect/>
        </a:stretch>
      </blipFill>
      <spPr>
        <a:xfrm xmlns:a="http://schemas.openxmlformats.org/drawingml/2006/main">
          <a:off x="258535" y="16029215"/>
          <a:ext cx="2933540" cy="1657506"/>
        </a:xfrm>
        <a:prstGeom xmlns:a="http://schemas.openxmlformats.org/drawingml/2006/main" prst="rect">
          <avLst/>
        </a:prstGeom>
        <a:ln xmlns:a="http://schemas.openxmlformats.org/drawingml/2006/main">
          <a:prstDash val="solid"/>
        </a:ln>
      </spPr>
    </pic>
    <clientData/>
  </twoCellAnchor>
  <twoCellAnchor editAs="oneCell">
    <from>
      <col>11</col>
      <colOff>326571</colOff>
      <row>56</row>
      <rowOff>149678</rowOff>
    </from>
    <to>
      <col>12</col>
      <colOff>2213814</colOff>
      <row>61</row>
      <rowOff>225136</rowOff>
    </to>
    <pic>
      <nvPicPr>
        <cNvPr id="28" name="Resim 27"/>
        <cNvPicPr>
          <a:picLocks xmlns:a="http://schemas.openxmlformats.org/drawingml/2006/main" noChangeAspect="1"/>
        </cNvPicPr>
      </nvPicPr>
      <blipFill rotWithShape="1">
        <a:blip xmlns:a="http://schemas.openxmlformats.org/drawingml/2006/main" xmlns:r="http://schemas.openxmlformats.org/officeDocument/2006/relationships" cstate="print" r:embed="rId6"/>
        <a:srcRect xmlns:a="http://schemas.openxmlformats.org/drawingml/2006/main" l="5559" t="20957" r="9571" b="18567"/>
        <a:stretch xmlns:a="http://schemas.openxmlformats.org/drawingml/2006/main">
          <a:fillRect/>
        </a:stretch>
      </blipFill>
      <spPr>
        <a:xfrm xmlns:a="http://schemas.openxmlformats.org/drawingml/2006/main">
          <a:off x="16301357" y="16070035"/>
          <a:ext cx="4037171" cy="1776351"/>
        </a:xfrm>
        <a:prstGeom xmlns:a="http://schemas.openxmlformats.org/drawingml/2006/main" prst="rect">
          <avLst/>
        </a:prstGeom>
        <a:ln xmlns:a="http://schemas.openxmlformats.org/drawingml/2006/main">
          <a:prstDash val="solid"/>
        </a:ln>
      </spPr>
    </pic>
    <clientData/>
  </twoCellAnchor>
</wsDr>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fitToPage="1"/>
  </sheetPr>
  <dimension ref="B12:N88"/>
  <sheetViews>
    <sheetView tabSelected="1" zoomScale="70" zoomScaleNormal="70" zoomScaleSheetLayoutView="70" workbookViewId="0">
      <selection activeCell="D23" sqref="D23:M23"/>
    </sheetView>
  </sheetViews>
  <sheetFormatPr baseColWidth="8" defaultRowHeight="15"/>
  <cols>
    <col width="1.42578125" customWidth="1" style="1" min="1" max="1"/>
    <col width="5.5703125" customWidth="1" style="1" min="2" max="2"/>
    <col width="30.5703125" customWidth="1" style="1" min="3" max="3"/>
    <col width="59.85546875" customWidth="1" style="1" min="4" max="4"/>
    <col width="29.28515625" customWidth="1" style="1" min="5" max="5"/>
    <col width="23.140625" customWidth="1" style="1" min="6" max="6"/>
    <col width="17.7109375" customWidth="1" style="1" min="7" max="7"/>
    <col width="20.5703125" customWidth="1" style="1" min="8" max="10"/>
    <col width="10.140625" customWidth="1" style="1" min="11" max="11"/>
    <col width="32.140625" customWidth="1" style="1" min="12" max="12"/>
    <col width="38" customWidth="1" style="1" min="13" max="13"/>
    <col width="9.140625" customWidth="1" style="1" min="14" max="16384"/>
  </cols>
  <sheetData>
    <row r="12" ht="28.5" customHeight="1" s="24">
      <c r="C12" s="67" t="inlineStr">
        <is>
          <t>MONTAJ TEKLİFİ</t>
        </is>
      </c>
      <c r="M12" s="130" t="n"/>
    </row>
    <row r="13" ht="26.25" customHeight="1" s="24" thickBot="1">
      <c r="M13" s="50" t="n"/>
    </row>
    <row r="14" ht="26.25" customHeight="1" s="24" thickBot="1">
      <c r="L14" s="20" t="inlineStr">
        <is>
          <t>TARİH</t>
        </is>
      </c>
      <c r="M14" s="131">
        <f>TODAY()</f>
        <v/>
      </c>
    </row>
    <row r="15" ht="27" customHeight="1" s="24" thickBot="1">
      <c r="B15" s="68" t="inlineStr">
        <is>
          <t xml:space="preserve">TARAFLAR </t>
        </is>
      </c>
      <c r="C15" s="20" t="inlineStr">
        <is>
          <t>SATIŞ ŞİRKETİ</t>
        </is>
      </c>
      <c r="D15" s="132" t="n"/>
      <c r="E15" s="132" t="n"/>
      <c r="F15" s="132" t="n"/>
      <c r="G15" s="132" t="n"/>
      <c r="H15" s="132" t="n"/>
      <c r="I15" s="132" t="n"/>
      <c r="J15" s="132" t="n"/>
      <c r="K15" s="132" t="n"/>
      <c r="L15" s="132" t="n"/>
      <c r="M15" s="133" t="n"/>
    </row>
    <row r="16" ht="27" customHeight="1" s="24">
      <c r="B16" s="1" t="n"/>
      <c r="C16" s="134" t="inlineStr">
        <is>
          <t>ORTKA YAPI ELEMANLARI ÜRETİM SAN.LTD.ŞTİ</t>
        </is>
      </c>
      <c r="D16" s="135" t="n"/>
      <c r="E16" s="20" t="n"/>
      <c r="F16" s="136" t="n"/>
      <c r="G16" s="136" t="n"/>
      <c r="H16" s="136" t="n"/>
      <c r="I16" s="136" t="n"/>
      <c r="J16" s="137" t="n"/>
      <c r="K16" s="134" t="inlineStr">
        <is>
          <t>AYKA KAPI SANAYİ TİCARET ANONİM ŞİRKETİ</t>
        </is>
      </c>
      <c r="L16" s="138" t="n"/>
      <c r="M16" s="135" t="n"/>
    </row>
    <row r="17" ht="27" customHeight="1" s="24">
      <c r="B17" s="1" t="n"/>
      <c r="C17" s="139" t="inlineStr">
        <is>
          <t>VERGİ DAİRESİ : BEYDAĞI</t>
        </is>
      </c>
      <c r="D17" s="140" t="n"/>
      <c r="E17" s="141" t="n"/>
      <c r="J17" s="130" t="n"/>
      <c r="K17" s="139" t="inlineStr">
        <is>
          <t>VERGİ DAİRESİ : BEYDAĞI</t>
        </is>
      </c>
      <c r="L17" s="1" t="n"/>
      <c r="M17" s="140" t="n"/>
    </row>
    <row r="18" ht="27" customHeight="1" s="24">
      <c r="B18" s="1" t="n"/>
      <c r="C18" s="139" t="inlineStr">
        <is>
          <t>VERGİ NO: 6480365207</t>
        </is>
      </c>
      <c r="D18" s="140" t="n"/>
      <c r="E18" s="141" t="n"/>
      <c r="J18" s="130" t="n"/>
      <c r="K18" s="139" t="inlineStr">
        <is>
          <t>VERGİ NO: 1210461108</t>
        </is>
      </c>
      <c r="L18" s="1" t="n"/>
      <c r="M18" s="140" t="n"/>
    </row>
    <row r="19" ht="27" customHeight="1" s="24" thickBot="1">
      <c r="B19" s="1" t="n"/>
      <c r="C19" s="142" t="inlineStr">
        <is>
          <t>MAİL/TEL: muhasebe@aykakapi.com.tr / 444 0 932</t>
        </is>
      </c>
      <c r="D19" s="143" t="n"/>
      <c r="E19" s="144" t="n"/>
      <c r="F19" s="145" t="n"/>
      <c r="G19" s="145" t="n"/>
      <c r="H19" s="145" t="n"/>
      <c r="I19" s="145" t="n"/>
      <c r="J19" s="146" t="n"/>
      <c r="K19" s="142" t="inlineStr">
        <is>
          <t>MAİL/TEL: muhasebe@aykakapi.com.tr / 444 0 932</t>
        </is>
      </c>
      <c r="L19" s="147" t="n"/>
      <c r="M19" s="143" t="n"/>
    </row>
    <row r="20" ht="27" customHeight="1" s="24">
      <c r="B20" s="1" t="n"/>
      <c r="C20" s="115" t="n"/>
      <c r="D20" s="138" t="n"/>
      <c r="E20" s="138" t="n"/>
      <c r="F20" s="138" t="n"/>
      <c r="G20" s="138" t="n"/>
      <c r="H20" s="138" t="n"/>
      <c r="I20" s="138" t="n"/>
      <c r="J20" s="138" t="n"/>
      <c r="K20" s="138" t="n"/>
      <c r="L20" s="138" t="n"/>
      <c r="M20" s="138" t="n"/>
    </row>
    <row r="21" ht="27" customHeight="1" s="24" thickBot="1">
      <c r="B21" s="1" t="n"/>
      <c r="C21" s="147" t="n"/>
      <c r="D21" s="147" t="n"/>
      <c r="E21" s="147" t="n"/>
      <c r="F21" s="147" t="n"/>
      <c r="G21" s="147" t="n"/>
      <c r="H21" s="147" t="n"/>
      <c r="I21" s="147" t="n"/>
      <c r="J21" s="147" t="n"/>
      <c r="K21" s="147" t="n"/>
      <c r="L21" s="147" t="n"/>
      <c r="M21" s="147" t="n"/>
    </row>
    <row r="22" ht="27" customHeight="1" s="24" thickBot="1">
      <c r="B22" s="1" t="n"/>
      <c r="C22" s="20" t="inlineStr">
        <is>
          <t>ALICI BİLGİLERİ</t>
        </is>
      </c>
      <c r="D22" s="132" t="n"/>
      <c r="E22" s="132" t="n"/>
      <c r="F22" s="132" t="n"/>
      <c r="G22" s="132" t="n"/>
      <c r="H22" s="132" t="n"/>
      <c r="I22" s="132" t="n"/>
      <c r="J22" s="132" t="n"/>
      <c r="K22" s="132" t="n"/>
      <c r="L22" s="132" t="n"/>
      <c r="M22" s="133" t="n"/>
    </row>
    <row r="23" ht="27" customHeight="1" s="24" thickBot="1">
      <c r="B23" s="1" t="n"/>
      <c r="C23" s="20" t="inlineStr">
        <is>
          <t>CARİ ÜNVANI</t>
        </is>
      </c>
      <c r="D23" s="148" t="inlineStr"/>
      <c r="E23" s="138" t="n"/>
      <c r="F23" s="138" t="n"/>
      <c r="G23" s="138" t="n"/>
      <c r="H23" s="138" t="n"/>
      <c r="I23" s="138" t="n"/>
      <c r="J23" s="138" t="n"/>
      <c r="K23" s="138" t="n"/>
      <c r="L23" s="138" t="n"/>
      <c r="M23" s="135" t="n"/>
    </row>
    <row r="24" ht="27" customHeight="1" s="24" thickBot="1">
      <c r="B24" s="1" t="n"/>
      <c r="C24" s="51" t="inlineStr">
        <is>
          <t>VERGİ DAİRESİ / NO</t>
        </is>
      </c>
      <c r="D24" s="149" t="inlineStr"/>
      <c r="E24" s="1" t="n"/>
      <c r="F24" s="1" t="n"/>
      <c r="G24" s="1" t="n"/>
      <c r="H24" s="1" t="n"/>
      <c r="I24" s="1" t="n"/>
      <c r="J24" s="1" t="n"/>
      <c r="K24" s="1" t="n"/>
      <c r="L24" s="1" t="n"/>
      <c r="M24" s="140" t="n"/>
    </row>
    <row r="25" ht="27" customHeight="1" s="24" thickBot="1">
      <c r="B25" s="1" t="n"/>
      <c r="C25" s="20" t="inlineStr">
        <is>
          <t>ADRES</t>
        </is>
      </c>
      <c r="D25" s="150" t="inlineStr"/>
      <c r="E25" s="1" t="n"/>
      <c r="F25" s="1" t="n"/>
      <c r="G25" s="1" t="n"/>
      <c r="H25" s="1" t="n"/>
      <c r="I25" s="1" t="n"/>
      <c r="J25" s="1" t="n"/>
      <c r="K25" s="1" t="n"/>
      <c r="L25" s="1" t="n"/>
      <c r="M25" s="140" t="n"/>
    </row>
    <row r="26" ht="27" customHeight="1" s="24" thickBot="1">
      <c r="B26" s="1" t="n"/>
      <c r="C26" s="52" t="inlineStr">
        <is>
          <t>YETKİLİ</t>
        </is>
      </c>
      <c r="D26" s="149" t="inlineStr"/>
      <c r="E26" s="1" t="n"/>
      <c r="F26" s="1" t="n"/>
      <c r="G26" s="1" t="n"/>
      <c r="H26" s="1" t="n"/>
      <c r="I26" s="1" t="n"/>
      <c r="J26" s="1" t="n"/>
      <c r="K26" s="1" t="n"/>
      <c r="L26" s="1" t="n"/>
      <c r="M26" s="140" t="n"/>
    </row>
    <row r="27" ht="27" customHeight="1" s="24" thickBot="1">
      <c r="B27" s="1" t="n"/>
      <c r="C27" s="20" t="inlineStr">
        <is>
          <t>TELEFON/MAİL</t>
        </is>
      </c>
      <c r="D27" s="151" t="inlineStr"/>
      <c r="E27" s="147" t="n"/>
      <c r="F27" s="147" t="n"/>
      <c r="G27" s="147" t="n"/>
      <c r="H27" s="147" t="n"/>
      <c r="I27" s="147" t="n"/>
      <c r="J27" s="147" t="n"/>
      <c r="K27" s="147" t="n"/>
      <c r="L27" s="147" t="n"/>
      <c r="M27" s="143" t="n"/>
    </row>
    <row r="28" ht="27" customHeight="1" s="24" thickBot="1">
      <c r="B28" s="68" t="n"/>
      <c r="C28" s="115" t="n"/>
      <c r="D28" s="152" t="n"/>
      <c r="E28" s="152" t="n"/>
      <c r="F28" s="152" t="n"/>
      <c r="G28" s="152" t="n"/>
      <c r="H28" s="152" t="n"/>
      <c r="I28" s="152" t="n"/>
      <c r="J28" s="152" t="n"/>
      <c r="K28" s="152" t="n"/>
      <c r="L28" s="152" t="n"/>
      <c r="M28" s="152" t="n"/>
    </row>
    <row r="29" ht="27" customHeight="1" s="24" thickBot="1">
      <c r="B29" s="2" t="n"/>
      <c r="C29" s="20" t="inlineStr">
        <is>
          <t xml:space="preserve">SATIŞ TEMSİLCİSİ BİLGİ ALANI </t>
        </is>
      </c>
      <c r="D29" s="132" t="n"/>
      <c r="E29" s="132" t="n"/>
      <c r="F29" s="132" t="n"/>
      <c r="G29" s="132" t="n"/>
      <c r="H29" s="132" t="n"/>
      <c r="I29" s="132" t="n"/>
      <c r="J29" s="132" t="n"/>
      <c r="K29" s="132" t="n"/>
      <c r="L29" s="132" t="n"/>
      <c r="M29" s="133" t="n"/>
    </row>
    <row r="30" ht="27" customHeight="1" s="24" thickBot="1">
      <c r="B30" s="2" t="n"/>
      <c r="C30" s="69" t="inlineStr">
        <is>
          <t xml:space="preserve">TEKLİF NUMARASI </t>
        </is>
      </c>
      <c r="D30" s="153" t="inlineStr"/>
      <c r="E30" s="154" t="n"/>
      <c r="F30" s="154" t="n"/>
      <c r="G30" s="154" t="n"/>
      <c r="H30" s="154" t="n"/>
      <c r="I30" s="154" t="n"/>
      <c r="J30" s="154" t="n"/>
      <c r="K30" s="154" t="n"/>
      <c r="L30" s="154" t="n"/>
      <c r="M30" s="155" t="n"/>
    </row>
    <row r="31" ht="27" customHeight="1" s="24" thickBot="1">
      <c r="B31" s="2" t="n"/>
      <c r="C31" s="69" t="inlineStr">
        <is>
          <t xml:space="preserve">HAZIRLAYAN </t>
        </is>
      </c>
      <c r="D31" s="3" t="inlineStr"/>
      <c r="E31" s="4" t="inlineStr"/>
      <c r="F31" s="4" t="inlineStr"/>
      <c r="G31" s="4" t="inlineStr"/>
      <c r="H31" s="4" t="inlineStr"/>
      <c r="I31" s="4" t="inlineStr"/>
      <c r="J31" s="4" t="inlineStr"/>
      <c r="K31" s="5" t="inlineStr"/>
      <c r="L31" s="4" t="inlineStr"/>
      <c r="M31" s="5" t="inlineStr"/>
    </row>
    <row r="32" ht="27" customHeight="1" s="24" thickBot="1">
      <c r="B32" s="2" t="n"/>
      <c r="C32" s="93" t="inlineStr">
        <is>
          <t xml:space="preserve">GEÇERLİLİK TARİHİ </t>
        </is>
      </c>
      <c r="D32" s="3" t="inlineStr"/>
      <c r="E32" s="4" t="inlineStr"/>
      <c r="F32" s="4" t="inlineStr"/>
      <c r="G32" s="4" t="inlineStr"/>
      <c r="H32" s="4" t="inlineStr"/>
      <c r="I32" s="4" t="inlineStr"/>
      <c r="J32" s="4" t="inlineStr"/>
      <c r="K32" s="5" t="inlineStr"/>
      <c r="L32" s="4" t="inlineStr"/>
      <c r="M32" s="5" t="inlineStr"/>
    </row>
    <row r="33" ht="27" customHeight="1" s="24" thickBot="1">
      <c r="B33" s="2" t="n"/>
      <c r="C33" s="69" t="inlineStr">
        <is>
          <t xml:space="preserve"> F.LİSTESİ</t>
        </is>
      </c>
      <c r="D33" s="161" t="inlineStr"/>
      <c r="E33" s="162" t="n"/>
      <c r="F33" s="162" t="n"/>
      <c r="G33" s="162" t="n"/>
      <c r="H33" s="162" t="n"/>
      <c r="I33" s="162" t="n"/>
      <c r="J33" s="162" t="n"/>
      <c r="K33" s="162" t="n"/>
      <c r="L33" s="162" t="n"/>
      <c r="M33" s="163" t="n"/>
    </row>
    <row r="34" ht="27" customHeight="1" s="24">
      <c r="B34" s="2" t="n"/>
      <c r="C34" s="74" t="n"/>
      <c r="D34" s="138" t="n"/>
      <c r="E34" s="138" t="n"/>
      <c r="F34" s="138" t="n"/>
      <c r="G34" s="138" t="n"/>
      <c r="H34" s="138" t="n"/>
      <c r="I34" s="138" t="n"/>
      <c r="J34" s="138" t="n"/>
      <c r="K34" s="138" t="n"/>
      <c r="L34" s="138" t="n"/>
      <c r="M34" s="138" t="n"/>
    </row>
    <row r="35">
      <c r="C35" s="1" t="n"/>
      <c r="D35" s="1" t="n"/>
      <c r="E35" s="1" t="n"/>
      <c r="F35" s="1" t="n"/>
      <c r="G35" s="1" t="n"/>
      <c r="H35" s="1" t="n"/>
      <c r="I35" s="1" t="n"/>
      <c r="J35" s="1" t="n"/>
      <c r="K35" s="1" t="n"/>
      <c r="L35" s="1" t="n"/>
      <c r="M35" s="1" t="n"/>
    </row>
    <row r="36" ht="27" customHeight="1" s="24">
      <c r="C36" s="105" t="inlineStr">
        <is>
          <t xml:space="preserve">HİZMETLER </t>
        </is>
      </c>
      <c r="M36" s="130" t="n"/>
    </row>
    <row r="37" ht="27" customHeight="1" s="24">
      <c r="C37" s="21" t="inlineStr">
        <is>
          <t>Kod</t>
        </is>
      </c>
      <c r="D37" s="21" t="inlineStr">
        <is>
          <t xml:space="preserve">Satış Birimi </t>
        </is>
      </c>
      <c r="E37" s="21" t="inlineStr">
        <is>
          <t xml:space="preserve">Köpük </t>
        </is>
      </c>
      <c r="F37" s="21" t="inlineStr">
        <is>
          <t xml:space="preserve">Nakliye </t>
        </is>
      </c>
      <c r="G37" s="21" t="inlineStr">
        <is>
          <t>Miktar</t>
        </is>
      </c>
      <c r="H37" s="21" t="inlineStr">
        <is>
          <t xml:space="preserve">Liste Fiyatı </t>
        </is>
      </c>
      <c r="I37" s="21" t="inlineStr">
        <is>
          <t>1-İskonto %</t>
        </is>
      </c>
      <c r="J37" s="21" t="inlineStr">
        <is>
          <t>2-İskonto %</t>
        </is>
      </c>
      <c r="K37" s="21" t="inlineStr">
        <is>
          <t>Birim</t>
        </is>
      </c>
      <c r="L37" s="21" t="inlineStr">
        <is>
          <t xml:space="preserve">Birim Net Fiyatı </t>
        </is>
      </c>
      <c r="M37" s="21" t="inlineStr">
        <is>
          <t xml:space="preserve">Tutar </t>
        </is>
      </c>
    </row>
    <row r="38" ht="27" customHeight="1" s="24">
      <c r="C38" s="9" t="inlineStr"/>
      <c r="D38" s="33" t="inlineStr"/>
      <c r="E38" s="17" t="inlineStr"/>
      <c r="F38" s="9" t="inlineStr"/>
      <c r="G38" s="17" t="inlineStr"/>
      <c r="H38" s="164" t="inlineStr"/>
      <c r="I38" s="17" t="inlineStr"/>
      <c r="J38" s="59" t="inlineStr"/>
      <c r="K38" s="60" t="inlineStr"/>
      <c r="L38" s="165" t="inlineStr"/>
      <c r="M38" s="166" t="inlineStr"/>
    </row>
    <row r="39" ht="27" customHeight="1" s="24">
      <c r="C39" s="9" t="inlineStr"/>
      <c r="D39" s="33" t="inlineStr"/>
      <c r="E39" s="17" t="inlineStr"/>
      <c r="F39" s="9" t="inlineStr"/>
      <c r="G39" s="17" t="inlineStr"/>
      <c r="H39" s="164" t="inlineStr"/>
      <c r="I39" s="17" t="inlineStr"/>
      <c r="J39" s="59" t="inlineStr"/>
      <c r="K39" s="60" t="inlineStr"/>
      <c r="L39" s="165" t="inlineStr"/>
      <c r="M39" s="166" t="inlineStr"/>
    </row>
    <row r="40" ht="27" customHeight="1" s="24">
      <c r="C40" s="9" t="inlineStr"/>
      <c r="D40" s="33" t="inlineStr"/>
      <c r="E40" s="17" t="inlineStr"/>
      <c r="F40" s="9" t="inlineStr"/>
      <c r="G40" s="17" t="inlineStr"/>
      <c r="H40" s="164" t="inlineStr"/>
      <c r="I40" s="17" t="inlineStr"/>
      <c r="J40" s="59" t="inlineStr"/>
      <c r="K40" s="60" t="inlineStr"/>
      <c r="L40" s="165" t="inlineStr"/>
      <c r="M40" s="166" t="inlineStr"/>
    </row>
    <row r="41" ht="27" customHeight="1" s="24">
      <c r="C41" s="9" t="inlineStr"/>
      <c r="D41" s="33" t="inlineStr"/>
      <c r="E41" s="17" t="inlineStr"/>
      <c r="F41" s="9" t="inlineStr"/>
      <c r="G41" s="17" t="inlineStr"/>
      <c r="H41" s="164" t="inlineStr"/>
      <c r="I41" s="17" t="inlineStr"/>
      <c r="J41" s="59" t="inlineStr"/>
      <c r="K41" s="60" t="inlineStr"/>
      <c r="L41" s="165" t="inlineStr"/>
      <c r="M41" s="166" t="inlineStr"/>
    </row>
    <row r="42" ht="27" customHeight="1" s="24">
      <c r="C42" s="9" t="inlineStr"/>
      <c r="D42" s="33" t="inlineStr"/>
      <c r="E42" s="17" t="inlineStr"/>
      <c r="F42" s="9" t="inlineStr"/>
      <c r="G42" s="17" t="inlineStr"/>
      <c r="H42" s="164" t="inlineStr"/>
      <c r="I42" s="17" t="inlineStr"/>
      <c r="J42" s="59" t="inlineStr"/>
      <c r="K42" s="60" t="inlineStr"/>
      <c r="L42" s="165" t="inlineStr"/>
      <c r="M42" s="166" t="inlineStr"/>
    </row>
    <row r="43" ht="27" customHeight="1" s="24">
      <c r="C43" s="9" t="inlineStr"/>
      <c r="D43" s="33" t="inlineStr"/>
      <c r="E43" s="17" t="inlineStr"/>
      <c r="F43" s="9" t="inlineStr"/>
      <c r="G43" s="17" t="inlineStr"/>
      <c r="H43" s="164" t="inlineStr"/>
      <c r="I43" s="17" t="inlineStr"/>
      <c r="J43" s="59" t="inlineStr"/>
      <c r="K43" s="60" t="inlineStr"/>
      <c r="L43" s="165" t="inlineStr"/>
      <c r="M43" s="166" t="inlineStr"/>
    </row>
    <row r="44" ht="27" customHeight="1" s="24">
      <c r="C44" s="9" t="inlineStr"/>
      <c r="D44" s="33" t="inlineStr"/>
      <c r="E44" s="17" t="inlineStr"/>
      <c r="F44" s="9" t="inlineStr"/>
      <c r="G44" s="17" t="inlineStr"/>
      <c r="H44" s="164" t="inlineStr"/>
      <c r="I44" s="17" t="inlineStr"/>
      <c r="J44" s="59" t="inlineStr"/>
      <c r="K44" s="60" t="inlineStr"/>
      <c r="L44" s="165" t="inlineStr"/>
      <c r="M44" s="166" t="inlineStr"/>
    </row>
    <row r="45" ht="27" customHeight="1" s="24">
      <c r="C45" s="9" t="inlineStr"/>
      <c r="D45" s="33" t="inlineStr"/>
      <c r="E45" s="17" t="inlineStr"/>
      <c r="F45" s="9" t="inlineStr"/>
      <c r="G45" s="17" t="inlineStr"/>
      <c r="H45" s="164" t="inlineStr"/>
      <c r="I45" s="17" t="inlineStr"/>
      <c r="J45" s="59" t="inlineStr"/>
      <c r="K45" s="60" t="inlineStr"/>
      <c r="L45" s="165" t="inlineStr"/>
      <c r="M45" s="166" t="inlineStr"/>
    </row>
    <row r="46" ht="27" customHeight="1" s="24">
      <c r="C46" s="9" t="inlineStr"/>
      <c r="D46" s="33" t="inlineStr"/>
      <c r="E46" s="17" t="inlineStr"/>
      <c r="F46" s="9" t="inlineStr"/>
      <c r="G46" s="17" t="inlineStr"/>
      <c r="H46" s="164" t="inlineStr"/>
      <c r="I46" s="17" t="inlineStr"/>
      <c r="J46" s="59" t="inlineStr"/>
      <c r="K46" s="60" t="inlineStr"/>
      <c r="L46" s="165" t="inlineStr"/>
      <c r="M46" s="166" t="inlineStr"/>
    </row>
    <row r="47" ht="27" customHeight="1" s="24">
      <c r="C47" s="159" t="inlineStr"/>
      <c r="D47" s="167" t="inlineStr"/>
      <c r="E47" s="167" t="inlineStr"/>
      <c r="F47" s="167" t="inlineStr"/>
      <c r="G47" s="168" t="inlineStr"/>
      <c r="H47" s="169" t="inlineStr"/>
      <c r="I47" s="169" t="inlineStr"/>
      <c r="J47" s="169" t="inlineStr"/>
      <c r="K47" s="170" t="inlineStr"/>
      <c r="L47" s="16" t="inlineStr"/>
      <c r="M47" s="171" t="inlineStr"/>
    </row>
    <row r="48" ht="27" customHeight="1" s="24">
      <c r="C48" s="172" t="inlineStr"/>
      <c r="D48" s="173" t="inlineStr"/>
      <c r="E48" s="173" t="inlineStr"/>
      <c r="F48" s="167" t="inlineStr"/>
      <c r="G48" s="167" t="inlineStr"/>
      <c r="H48" s="167" t="inlineStr"/>
      <c r="I48" s="167" t="inlineStr"/>
      <c r="J48" s="167" t="inlineStr"/>
      <c r="K48" s="170" t="inlineStr"/>
      <c r="L48" s="16" t="inlineStr"/>
      <c r="M48" s="174" t="inlineStr"/>
    </row>
    <row r="49" ht="27" customHeight="1" s="24">
      <c r="C49" s="173" t="inlineStr"/>
      <c r="D49" s="173" t="inlineStr"/>
      <c r="E49" s="173" t="inlineStr"/>
      <c r="F49" s="175" t="inlineStr"/>
      <c r="G49" s="175" t="inlineStr"/>
      <c r="H49" s="175" t="inlineStr"/>
      <c r="I49" s="175" t="inlineStr"/>
      <c r="J49" s="175" t="inlineStr"/>
      <c r="K49" s="176" t="inlineStr"/>
      <c r="L49" s="16" t="inlineStr"/>
      <c r="M49" s="171" t="inlineStr"/>
    </row>
    <row r="50" ht="27" customHeight="1" s="24">
      <c r="C50" s="15" t="inlineStr">
        <is>
          <t xml:space="preserve">*Kurulum Montaj Hizmeti </t>
        </is>
      </c>
      <c r="D50" s="15" t="n"/>
      <c r="E50" s="15" t="inlineStr">
        <is>
          <t>* Taşıma Hizmeti</t>
        </is>
      </c>
      <c r="F50" s="48" t="n"/>
      <c r="G50" s="48" t="n"/>
      <c r="H50" s="48" t="n"/>
      <c r="I50" s="48" t="n"/>
      <c r="J50" s="48" t="n"/>
      <c r="K50" s="61" t="n"/>
      <c r="L50" s="27" t="n"/>
      <c r="M50" s="177" t="n"/>
    </row>
    <row r="51" ht="27" customHeight="1" s="24">
      <c r="C51" s="15" t="n"/>
      <c r="D51" s="48" t="n"/>
      <c r="E51" s="48" t="n"/>
      <c r="F51" s="48" t="n"/>
      <c r="G51" s="48" t="n"/>
      <c r="H51" s="48" t="n"/>
      <c r="I51" s="48" t="n"/>
      <c r="J51" s="48" t="n"/>
      <c r="K51" s="48" t="n"/>
      <c r="L51" s="12" t="n"/>
      <c r="M51" s="178" t="n"/>
    </row>
    <row r="52" ht="27" customHeight="1" s="24">
      <c r="C52" s="15" t="n"/>
      <c r="D52" s="48" t="n"/>
      <c r="E52" s="48" t="n"/>
      <c r="F52" s="48" t="n"/>
      <c r="G52" s="48" t="n"/>
      <c r="H52" s="48" t="n"/>
      <c r="I52" s="48" t="n"/>
      <c r="J52" s="48" t="n"/>
      <c r="K52" s="48" t="n"/>
      <c r="L52" s="12" t="n"/>
      <c r="M52" s="178" t="n"/>
    </row>
    <row r="53" ht="27" customHeight="1" s="24">
      <c r="C53" s="48" t="n"/>
      <c r="D53" s="48" t="n"/>
      <c r="E53" s="48" t="n"/>
      <c r="F53" s="48" t="n"/>
      <c r="G53" s="48" t="n"/>
      <c r="H53" s="48" t="n"/>
      <c r="I53" s="48" t="n"/>
      <c r="J53" s="48" t="n"/>
      <c r="K53" s="48" t="n"/>
      <c r="L53" s="12" t="n"/>
      <c r="M53" s="178" t="n"/>
    </row>
    <row r="54" ht="27" customHeight="1" s="24">
      <c r="C54" s="61" t="n"/>
      <c r="D54" s="61" t="n"/>
      <c r="E54" s="61" t="n"/>
      <c r="F54" s="61" t="n"/>
      <c r="G54" s="61" t="n"/>
      <c r="H54" s="61" t="n"/>
      <c r="I54" s="61" t="n"/>
      <c r="J54" s="61" t="n"/>
      <c r="K54" s="61" t="n"/>
      <c r="L54" s="61" t="n"/>
      <c r="M54" s="61" t="n"/>
    </row>
    <row r="55" ht="27" customHeight="1" s="24">
      <c r="C55" s="61" t="n"/>
      <c r="D55" s="61" t="n"/>
      <c r="E55" s="61" t="n"/>
      <c r="F55" s="61" t="n"/>
      <c r="G55" s="61" t="n"/>
      <c r="H55" s="61" t="n"/>
      <c r="I55" s="61" t="n"/>
      <c r="J55" s="61" t="n"/>
      <c r="K55" s="61" t="n"/>
      <c r="L55" s="61" t="n"/>
      <c r="M55" s="61" t="n"/>
    </row>
    <row r="56" ht="27" customHeight="1" s="24">
      <c r="C56" s="61" t="n"/>
      <c r="D56" s="61" t="n"/>
      <c r="E56" s="61" t="n"/>
      <c r="F56" s="61" t="n"/>
      <c r="G56" s="61" t="n"/>
      <c r="H56" s="61" t="n"/>
      <c r="I56" s="61" t="n"/>
      <c r="J56" s="61" t="n"/>
      <c r="K56" s="61" t="n"/>
      <c r="L56" s="61" t="n"/>
      <c r="M56" s="61" t="n"/>
    </row>
    <row r="57" ht="27" customHeight="1" s="24">
      <c r="C57" s="61" t="n"/>
      <c r="D57" s="61" t="n"/>
      <c r="E57" s="61" t="n"/>
      <c r="F57" s="61" t="n"/>
      <c r="G57" s="61" t="n"/>
      <c r="H57" s="61" t="n"/>
      <c r="I57" s="61" t="n"/>
      <c r="J57" s="61" t="n"/>
      <c r="K57" s="61" t="n"/>
      <c r="L57" s="27" t="n"/>
      <c r="M57" s="177" t="n"/>
    </row>
    <row r="58" ht="27" customHeight="1" s="24">
      <c r="C58" s="61" t="n"/>
      <c r="D58" s="61" t="n"/>
      <c r="E58" s="61" t="n"/>
      <c r="F58" s="61" t="n"/>
      <c r="G58" s="61" t="n"/>
      <c r="H58" s="61" t="n"/>
      <c r="I58" s="61" t="n"/>
      <c r="J58" s="61" t="n"/>
      <c r="K58" s="61" t="n"/>
      <c r="L58" s="27" t="n"/>
      <c r="M58" s="177" t="n"/>
    </row>
    <row r="59" ht="27" customHeight="1" s="24">
      <c r="C59" s="61" t="n"/>
      <c r="D59" s="61" t="n"/>
      <c r="E59" s="61" t="n"/>
      <c r="F59" s="61" t="n"/>
      <c r="G59" s="61" t="n"/>
      <c r="H59" s="61" t="n"/>
      <c r="I59" s="61" t="n"/>
      <c r="J59" s="61" t="n"/>
      <c r="K59" s="61" t="n"/>
      <c r="L59" s="27" t="n"/>
      <c r="M59" s="177" t="n"/>
    </row>
    <row r="60" ht="27" customHeight="1" s="24">
      <c r="C60" s="61" t="n"/>
      <c r="D60" s="61" t="n"/>
      <c r="E60" s="61" t="n"/>
      <c r="F60" s="61" t="n"/>
      <c r="G60" s="61" t="n"/>
      <c r="H60" s="61" t="n"/>
      <c r="I60" s="61" t="n"/>
      <c r="J60" s="61" t="n"/>
      <c r="K60" s="61" t="n"/>
      <c r="L60" s="27" t="n"/>
      <c r="M60" s="177" t="n"/>
    </row>
    <row r="61" ht="27" customHeight="1" s="24">
      <c r="C61" s="61" t="n"/>
      <c r="D61" s="61" t="n"/>
      <c r="E61" s="61" t="n"/>
      <c r="F61" s="61" t="n"/>
      <c r="G61" s="61" t="n"/>
      <c r="H61" s="61" t="n"/>
      <c r="I61" s="61" t="n"/>
      <c r="J61" s="61" t="n"/>
      <c r="K61" s="61" t="n"/>
      <c r="L61" s="27" t="n"/>
      <c r="M61" s="177" t="n"/>
    </row>
    <row r="62" ht="27" customHeight="1" s="24" thickBot="1">
      <c r="C62" s="61" t="n"/>
      <c r="D62" s="61" t="n"/>
      <c r="E62" s="61" t="n"/>
      <c r="F62" s="61" t="n"/>
      <c r="G62" s="61" t="n"/>
      <c r="H62" s="61" t="n"/>
      <c r="I62" s="61" t="n"/>
      <c r="J62" s="61" t="n"/>
      <c r="K62" s="61" t="n"/>
      <c r="L62" s="27" t="n"/>
      <c r="M62" s="177" t="n"/>
    </row>
    <row r="63" ht="27" customHeight="1" s="24" thickBot="1">
      <c r="C63" s="61" t="n"/>
      <c r="D63" s="61" t="inlineStr"/>
      <c r="E63" s="48" t="n"/>
      <c r="F63" s="48" t="n"/>
      <c r="G63" s="48" t="n"/>
      <c r="H63" s="48" t="n"/>
      <c r="I63" s="48" t="n"/>
      <c r="J63" s="179" t="inlineStr">
        <is>
          <t>YEKÜN İCMAAL</t>
        </is>
      </c>
      <c r="K63" s="132" t="n"/>
      <c r="L63" s="133" t="n"/>
      <c r="M63" s="178" t="n"/>
    </row>
    <row r="64" ht="27" customHeight="1" s="24">
      <c r="C64" s="61" t="n"/>
      <c r="D64" s="61" t="inlineStr"/>
      <c r="E64" s="48" t="n"/>
      <c r="F64" s="48" t="n"/>
      <c r="G64" s="48" t="n"/>
      <c r="H64" s="48" t="n"/>
      <c r="I64" s="48" t="n"/>
      <c r="J64" s="180" t="inlineStr">
        <is>
          <t>HİZMET GRUBU</t>
        </is>
      </c>
      <c r="K64" s="155" t="n"/>
      <c r="L64" s="181">
        <f>M49</f>
        <v/>
      </c>
      <c r="M64" s="178" t="n"/>
    </row>
    <row r="65" ht="27" customHeight="1" s="24" thickBot="1">
      <c r="C65" s="61" t="n"/>
      <c r="D65" s="61" t="inlineStr"/>
      <c r="E65" s="48" t="n"/>
      <c r="F65" s="48" t="n"/>
      <c r="G65" s="48" t="n"/>
      <c r="H65" s="48" t="n"/>
      <c r="I65" s="48" t="n"/>
      <c r="J65" s="182" t="inlineStr">
        <is>
          <t xml:space="preserve">TOPLAM YEKÜN </t>
        </is>
      </c>
      <c r="K65" s="146" t="n"/>
      <c r="L65" s="183">
        <f>L64</f>
        <v/>
      </c>
      <c r="M65" s="178" t="n"/>
    </row>
    <row r="66" ht="27" customHeight="1" s="24">
      <c r="C66" s="61" t="n"/>
      <c r="D66" s="61" t="inlineStr"/>
      <c r="E66" s="48" t="n"/>
      <c r="F66" s="48" t="n"/>
      <c r="G66" s="48" t="n"/>
      <c r="H66" s="48" t="n"/>
      <c r="I66" s="48" t="n"/>
      <c r="J66" s="48" t="n"/>
      <c r="K66" s="48" t="n"/>
      <c r="L66" s="12" t="n"/>
      <c r="M66" s="178" t="n"/>
    </row>
    <row r="67" ht="27" customHeight="1" s="24">
      <c r="C67" s="61" t="n"/>
      <c r="D67" s="61" t="inlineStr"/>
      <c r="E67" s="48" t="n"/>
      <c r="F67" s="48" t="n"/>
      <c r="G67" s="48" t="n"/>
      <c r="H67" s="48" t="n"/>
      <c r="I67" s="48" t="n"/>
      <c r="J67" s="48" t="n"/>
      <c r="K67" s="48" t="n"/>
      <c r="L67" s="12" t="n"/>
      <c r="M67" s="178" t="n"/>
    </row>
    <row r="68" ht="27" customHeight="1" s="24">
      <c r="C68" s="61" t="n"/>
      <c r="D68" s="61" t="inlineStr"/>
      <c r="E68" s="48" t="n"/>
      <c r="F68" s="48" t="n"/>
      <c r="G68" s="48" t="n"/>
      <c r="H68" s="48" t="n"/>
      <c r="I68" s="48" t="n"/>
      <c r="J68" s="48" t="n"/>
      <c r="K68" s="48" t="n"/>
      <c r="L68" s="12" t="n"/>
      <c r="M68" s="178" t="n"/>
    </row>
    <row r="69" ht="27" customHeight="1" s="24">
      <c r="C69" s="61" t="n"/>
      <c r="D69" s="61" t="inlineStr"/>
      <c r="E69" s="48" t="n"/>
      <c r="F69" s="48" t="n"/>
      <c r="G69" s="48" t="n"/>
      <c r="H69" s="48" t="n"/>
      <c r="I69" s="48" t="n"/>
      <c r="J69" s="48" t="n"/>
      <c r="K69" s="48" t="n"/>
      <c r="L69" s="12" t="n"/>
      <c r="M69" s="178" t="n"/>
    </row>
    <row r="70" ht="27" customHeight="1" s="24">
      <c r="C70" s="48" t="n"/>
      <c r="D70" s="48" t="n"/>
      <c r="E70" s="48" t="n"/>
      <c r="F70" s="48" t="n"/>
      <c r="G70" s="48" t="n"/>
      <c r="H70" s="48" t="n"/>
      <c r="I70" s="48" t="n"/>
      <c r="J70" s="48" t="n"/>
      <c r="K70" s="48" t="n"/>
      <c r="L70" s="12" t="n"/>
      <c r="M70" s="178" t="n"/>
    </row>
    <row r="71" ht="27" customHeight="1" s="24">
      <c r="C71" s="116" t="inlineStr">
        <is>
          <t>* Bu teklif, firmamızın Mikro ERP MRP II üretim, maliyetlendirme ve stok yönetim sistemi esas alınarak hazırlanmıştır. Onaylanan siparişler sistem üzerinden üretim iş emrine dönüştürülmektedir. Teklif onayı sonrası fiyat ve teknik içerik sistem kaydı ile kesinlik kazanır.</t>
        </is>
      </c>
    </row>
    <row r="72" ht="27" customHeight="1" s="24">
      <c r="C72" s="105" t="inlineStr">
        <is>
          <t>GENEL ŞARTLAR &amp; TEKLİF NOTLARI</t>
        </is>
      </c>
      <c r="M72" s="130" t="n"/>
    </row>
    <row r="73" ht="27" customHeight="1" s="24">
      <c r="C73" s="127" t="inlineStr">
        <is>
          <t>1-Belirtilen fiyatlara KDV  hariçtir.</t>
        </is>
      </c>
      <c r="D73" s="49" t="n"/>
      <c r="E73" s="49" t="n"/>
      <c r="F73" s="22" t="n"/>
      <c r="G73" s="61" t="n"/>
      <c r="H73" s="61" t="n"/>
      <c r="I73" s="107" t="inlineStr">
        <is>
          <t xml:space="preserve">TEKLİF NOTLARI </t>
        </is>
      </c>
    </row>
    <row r="74" ht="27" customHeight="1" s="24">
      <c r="C74" s="128" t="inlineStr">
        <is>
          <t>2-İşbu teklif, düzenleme tarihinden itibaren ___ gün geçerlidir.</t>
        </is>
      </c>
      <c r="D74" s="49" t="n"/>
      <c r="E74" s="49" t="n"/>
      <c r="F74" s="22" t="n"/>
      <c r="G74" s="61" t="n"/>
      <c r="H74" s="61" t="n"/>
      <c r="I74" s="129" t="inlineStr">
        <is>
          <t>1- Ölçüler Net ölçü üzerinden değerlendirilmiştir.</t>
        </is>
      </c>
      <c r="J74" s="1" t="n"/>
      <c r="K74" s="1" t="n"/>
      <c r="L74" s="1" t="n"/>
      <c r="M74" s="1" t="n"/>
    </row>
    <row r="75" ht="27" customHeight="1" s="24">
      <c r="C75" s="127" t="inlineStr">
        <is>
          <t>3-Ürün ölçü ve model onayı müşteri tarafından teyit edilmeden üretime başlanmaz.</t>
        </is>
      </c>
      <c r="D75" s="49" t="n"/>
      <c r="E75" s="49" t="n"/>
      <c r="F75" s="22" t="n"/>
      <c r="G75" s="61" t="n"/>
      <c r="H75" s="61" t="n"/>
      <c r="I75" s="129" t="inlineStr">
        <is>
          <t xml:space="preserve">2- Üretim Öncesi Teyit alınacaktır </t>
        </is>
      </c>
      <c r="J75" s="1" t="n"/>
      <c r="K75" s="1" t="n"/>
      <c r="L75" s="1" t="n"/>
      <c r="M75" s="1" t="n"/>
    </row>
    <row r="76" ht="27" customHeight="1" s="24">
      <c r="C76" s="127" t="inlineStr">
        <is>
          <t>4-Ödeme şartları teklif üzerinde belirtilen şekilde uygulanacaktır.</t>
        </is>
      </c>
      <c r="D76" s="49" t="n"/>
      <c r="E76" s="49" t="n"/>
      <c r="F76" s="22" t="n"/>
      <c r="G76" s="61" t="n"/>
      <c r="H76" s="61" t="n"/>
      <c r="I76" s="129" t="inlineStr">
        <is>
          <t>3-</t>
        </is>
      </c>
      <c r="J76" s="1" t="n"/>
      <c r="K76" s="1" t="n"/>
      <c r="L76" s="1" t="n"/>
      <c r="M76" s="1" t="n"/>
    </row>
    <row r="77" ht="27" customHeight="1" s="24">
      <c r="C77" s="127" t="inlineStr">
        <is>
          <t>5-Montaj ve teslim süreleri (varsa) sipariş onayı ve ödeme planına göre planlanacaktır.</t>
        </is>
      </c>
      <c r="D77" s="49" t="n"/>
      <c r="E77" s="49" t="n"/>
      <c r="F77" s="22" t="n"/>
      <c r="G77" s="61" t="n"/>
      <c r="H77" s="61" t="n"/>
      <c r="I77" s="129" t="inlineStr">
        <is>
          <t>4-</t>
        </is>
      </c>
      <c r="J77" s="1" t="n"/>
      <c r="K77" s="1" t="n"/>
      <c r="L77" s="1" t="n"/>
      <c r="M77" s="1" t="n"/>
    </row>
    <row r="78" ht="27" customHeight="1" s="24">
      <c r="C78" s="22" t="n"/>
      <c r="D78" s="49" t="n"/>
      <c r="E78" s="49" t="n"/>
      <c r="F78" s="22" t="n"/>
      <c r="G78" s="61" t="n"/>
      <c r="H78" s="61" t="n"/>
      <c r="I78" s="22" t="n"/>
      <c r="J78" s="61" t="n"/>
      <c r="K78" s="61" t="n"/>
      <c r="L78" s="27" t="n"/>
      <c r="M78" s="184" t="n"/>
    </row>
    <row r="79" ht="27" customHeight="1" s="24">
      <c r="C79" s="105" t="inlineStr">
        <is>
          <t xml:space="preserve">FİRMA UNVANLARI &amp; İBANLAR </t>
        </is>
      </c>
      <c r="M79" s="130" t="n"/>
    </row>
    <row r="80" ht="27" customHeight="1" s="24" thickBot="1">
      <c r="C80" s="106" t="n"/>
    </row>
    <row r="81" ht="27" customHeight="1" s="24">
      <c r="C81" s="185" t="inlineStr">
        <is>
          <t>ORTKA YAPI ELEMANLARI ÜRETİM SAN.LTD.ŞTİ TL</t>
        </is>
      </c>
      <c r="D81" s="137" t="n"/>
      <c r="E81" s="186" t="n"/>
      <c r="J81" s="130" t="n"/>
      <c r="K81" s="185" t="inlineStr">
        <is>
          <t>AYKA KAPI SANAYİ TİCARET ANONİM ŞİRKETİ TL</t>
        </is>
      </c>
      <c r="L81" s="136" t="n"/>
      <c r="M81" s="137" t="n"/>
      <c r="N81" s="159" t="inlineStr"/>
    </row>
    <row r="82" ht="27" customHeight="1" s="24">
      <c r="C82" s="25" t="inlineStr">
        <is>
          <t>Türkiye İş Bankası</t>
        </is>
      </c>
      <c r="D82" s="55" t="inlineStr">
        <is>
          <t>TR24 0006 4000 0018 6003 9367 45</t>
        </is>
      </c>
      <c r="E82" s="141" t="n"/>
      <c r="J82" s="130" t="n"/>
      <c r="K82" s="25" t="inlineStr">
        <is>
          <t>Garanti BBVA Bankası</t>
        </is>
      </c>
      <c r="M82" s="55" t="inlineStr">
        <is>
          <t>TR14 0006 2000 1120 0006 2913 29</t>
        </is>
      </c>
      <c r="N82" s="159" t="inlineStr"/>
    </row>
    <row r="83" ht="27" customHeight="1" s="24">
      <c r="C83" s="25" t="inlineStr">
        <is>
          <t xml:space="preserve">Ziraat Bankası </t>
        </is>
      </c>
      <c r="D83" s="55" t="inlineStr">
        <is>
          <t>TR07 0001 0021 6935 0399 4450 09</t>
        </is>
      </c>
      <c r="E83" s="141" t="n"/>
      <c r="J83" s="130" t="n"/>
      <c r="K83" s="25" t="inlineStr">
        <is>
          <t>Ziraat Bankası</t>
        </is>
      </c>
      <c r="M83" s="55" t="inlineStr">
        <is>
          <t>TR72 0001 0021 6994 2088 8850 01</t>
        </is>
      </c>
      <c r="N83" s="159" t="inlineStr"/>
    </row>
    <row r="84" ht="27" customHeight="1" s="24">
      <c r="C84" s="25" t="inlineStr">
        <is>
          <t>Albaraka Türk K.Bank</t>
        </is>
      </c>
      <c r="D84" s="55" t="inlineStr">
        <is>
          <t>TR66 0020 3000 0056 3735 0000 02</t>
        </is>
      </c>
      <c r="E84" s="141" t="n"/>
      <c r="J84" s="130" t="n"/>
      <c r="K84" s="25" t="inlineStr">
        <is>
          <t>Albaraka Türk K.Bank.</t>
        </is>
      </c>
      <c r="M84" s="55" t="inlineStr">
        <is>
          <t>TR25 0020 3000 0770 5276 0000 01</t>
        </is>
      </c>
      <c r="N84" s="159" t="inlineStr"/>
    </row>
    <row r="85" ht="27" customHeight="1" s="24" thickBot="1">
      <c r="C85" s="26" t="inlineStr">
        <is>
          <t xml:space="preserve">Vakıflar Bankası </t>
        </is>
      </c>
      <c r="D85" s="56" t="inlineStr">
        <is>
          <t>TR57 0001 5001 5800 7284 2692 06</t>
        </is>
      </c>
      <c r="E85" s="141" t="n"/>
      <c r="J85" s="130" t="n"/>
      <c r="K85" s="26" t="inlineStr"/>
      <c r="L85" s="145" t="n"/>
      <c r="M85" s="56" t="inlineStr"/>
      <c r="N85" s="159" t="inlineStr"/>
    </row>
    <row r="86" ht="27" customHeight="1" s="24">
      <c r="C86" s="61" t="n"/>
      <c r="D86" s="61" t="n"/>
      <c r="E86" s="61" t="n"/>
      <c r="F86" s="61" t="n"/>
    </row>
    <row r="87" ht="27" customHeight="1" s="24" thickBot="1">
      <c r="C87" s="105" t="inlineStr">
        <is>
          <t xml:space="preserve">TARAFLARIN KAŞE İMZASI </t>
        </is>
      </c>
      <c r="M87" s="130" t="n"/>
    </row>
    <row r="88" ht="27" customHeight="1" s="24" thickBot="1">
      <c r="C88" s="179" t="inlineStr">
        <is>
          <t xml:space="preserve">AYKA KAPI ADINA İMZA </t>
        </is>
      </c>
      <c r="D88" s="133" t="n"/>
      <c r="J88" s="179">
        <f>D23</f>
        <v/>
      </c>
      <c r="K88" s="132" t="n"/>
      <c r="L88" s="132" t="n"/>
      <c r="M88" s="133" t="n"/>
    </row>
    <row r="89" ht="27" customHeight="1" s="24"/>
    <row r="90" ht="27" customHeight="1" s="24"/>
    <row r="91" ht="27" customHeight="1" s="24"/>
    <row r="92" ht="27" customHeight="1" s="24"/>
    <row r="93" ht="27" customHeight="1" s="24"/>
    <row r="94" ht="27" customHeight="1" s="24"/>
    <row r="95" ht="27" customHeight="1" s="24"/>
    <row r="96" ht="27" customHeight="1" s="24"/>
    <row r="97" ht="27" customHeight="1" s="24"/>
    <row r="98" ht="27" customHeight="1" s="24"/>
    <row r="99" ht="27" customHeight="1" s="24"/>
  </sheetData>
  <sheetProtection selectLockedCells="1" selectUnlockedCells="0" algorithmName="SHA-512" sheet="1" objects="0" insertRows="1" insertHyperlinks="1" autoFilter="1" scenarios="0" formatColumns="1" deleteColumns="1" insertColumns="1" pivotTables="1" deleteRows="1" formatCells="1" saltValue="W54ZSKY5yWLGW6G1OUG2xA==" formatRows="1" sort="1" spinCount="100000" hashValue="HUYaBrfkagxeqdWkSI0GauW3GGl1Vb4mLpUwIqJimg1uJHmkVvmmBNbyZPs0cdcTmhE7owEq0L/BzpP9WdATQA=="/>
  <mergeCells count="47">
    <mergeCell ref="I74:M74"/>
    <mergeCell ref="J64:K64"/>
    <mergeCell ref="C87:M87"/>
    <mergeCell ref="E16:J19"/>
    <mergeCell ref="K81:M81"/>
    <mergeCell ref="K83:L83"/>
    <mergeCell ref="I77:M77"/>
    <mergeCell ref="C15:M15"/>
    <mergeCell ref="D30:M30"/>
    <mergeCell ref="D25:M25"/>
    <mergeCell ref="C28:M28"/>
    <mergeCell ref="C88:D88"/>
    <mergeCell ref="D24:M24"/>
    <mergeCell ref="D33:M33"/>
    <mergeCell ref="C79:M79"/>
    <mergeCell ref="J63:L63"/>
    <mergeCell ref="D23:M23"/>
    <mergeCell ref="I76:M76"/>
    <mergeCell ref="C16:D16"/>
    <mergeCell ref="C29:M29"/>
    <mergeCell ref="K85:L85"/>
    <mergeCell ref="D26:M26"/>
    <mergeCell ref="J65:K65"/>
    <mergeCell ref="K17:M17"/>
    <mergeCell ref="I75:M75"/>
    <mergeCell ref="C22:M22"/>
    <mergeCell ref="K84:L84"/>
    <mergeCell ref="C80:M80"/>
    <mergeCell ref="J88:M88"/>
    <mergeCell ref="K19:M19"/>
    <mergeCell ref="C12:M12"/>
    <mergeCell ref="C34:M35"/>
    <mergeCell ref="B15:B27"/>
    <mergeCell ref="C71:M71"/>
    <mergeCell ref="K18:M18"/>
    <mergeCell ref="C36:M36"/>
    <mergeCell ref="K16:M16"/>
    <mergeCell ref="C17:D17"/>
    <mergeCell ref="D27:M27"/>
    <mergeCell ref="E81:J85"/>
    <mergeCell ref="I73:M73"/>
    <mergeCell ref="K82:L82"/>
    <mergeCell ref="C20:M21"/>
    <mergeCell ref="C81:D81"/>
    <mergeCell ref="C72:M72"/>
    <mergeCell ref="C19:D19"/>
    <mergeCell ref="C18:D18"/>
  </mergeCells>
  <dataValidations count="2">
    <dataValidation sqref="I38:I46" showDropDown="0" showInputMessage="1" showErrorMessage="1" allowBlank="0" type="whole">
      <formula1>0</formula1>
      <formula2>50</formula2>
    </dataValidation>
    <dataValidation sqref="J38:J46" showDropDown="0" showInputMessage="1" showErrorMessage="1" allowBlank="0" type="whole">
      <formula1>0</formula1>
      <formula2>12</formula2>
    </dataValidation>
  </dataValidations>
  <pageMargins left="0.1574803149606299" right="0.1574803149606299" top="0.03937007874015748" bottom="0.03937007874015748" header="0.3149606299212598" footer="0.3149606299212598"/>
  <pageSetup orientation="landscape" paperSize="9" scale="46" fitToHeight="0"/>
  <colBreaks count="1" manualBreakCount="1">
    <brk id="3" min="0" max="1048575" man="1"/>
  </colBreaks>
  <drawing xmlns:r="http://schemas.openxmlformats.org/officeDocument/2006/relationships" r:id="rId1"/>
</worksheet>
</file>

<file path=xl/worksheets/sheet2.xml><?xml version="1.0" encoding="utf-8"?>
<worksheet xmlns="http://schemas.openxmlformats.org/spreadsheetml/2006/main">
  <sheetPr>
    <outlinePr summaryBelow="1" summaryRight="1"/>
    <pageSetUpPr/>
  </sheetPr>
  <dimension ref="A1:C189"/>
  <sheetViews>
    <sheetView topLeftCell="A158" workbookViewId="0">
      <selection activeCell="A181" sqref="A181"/>
    </sheetView>
  </sheetViews>
  <sheetFormatPr baseColWidth="8" defaultRowHeight="15"/>
  <cols>
    <col width="27.5703125" customWidth="1" style="24" min="1" max="1"/>
    <col width="54.85546875" customWidth="1" style="24" min="2" max="2"/>
    <col width="14" customWidth="1" style="24" min="3" max="3"/>
    <col width="9.140625" customWidth="1" style="24" min="4" max="16384"/>
  </cols>
  <sheetData>
    <row r="1">
      <c r="A1" s="40" t="inlineStr">
        <is>
          <t xml:space="preserve">kod </t>
        </is>
      </c>
      <c r="B1" s="40" t="inlineStr">
        <is>
          <t>ürün adı</t>
        </is>
      </c>
      <c r="C1" t="inlineStr">
        <is>
          <t xml:space="preserve">birim fiyatı </t>
        </is>
      </c>
    </row>
    <row r="2">
      <c r="A2" t="inlineStr">
        <is>
          <t>152.06.2004</t>
        </is>
      </c>
      <c r="B2" t="inlineStr">
        <is>
          <t>Optima Pro Çelik Kapı Ayarlı 1 ( 2 m² )</t>
        </is>
      </c>
      <c r="C2" s="188" t="n">
        <v>3500</v>
      </c>
    </row>
    <row r="3">
      <c r="A3" t="inlineStr">
        <is>
          <t>152.06.2005</t>
        </is>
      </c>
      <c r="B3" t="inlineStr">
        <is>
          <t>Optima Pro Çelik Kapı Ayarlı 2( 2 m² )</t>
        </is>
      </c>
      <c r="C3" s="188" t="n">
        <v>3700</v>
      </c>
    </row>
    <row r="4">
      <c r="A4" t="inlineStr">
        <is>
          <t>152.06.2006</t>
        </is>
      </c>
      <c r="B4" t="inlineStr">
        <is>
          <t>Optima Pro Çelik Kapı Ayarlı 3 ( 2 m² )</t>
        </is>
      </c>
      <c r="C4" s="188" t="n">
        <v>4000</v>
      </c>
    </row>
    <row r="5">
      <c r="A5" t="inlineStr">
        <is>
          <t>152.06.2104</t>
        </is>
      </c>
      <c r="B5" t="inlineStr">
        <is>
          <t>Trend  Pro Çelik Kapı Ayarlı 1( 2 m² )</t>
        </is>
      </c>
      <c r="C5" s="188" t="n">
        <v>3500</v>
      </c>
    </row>
    <row r="6">
      <c r="A6" t="inlineStr">
        <is>
          <t>152.06.2105</t>
        </is>
      </c>
      <c r="B6" t="inlineStr">
        <is>
          <t>Trend  Pro Çelik Kapı Ayarlı 2 ( 2 m² )</t>
        </is>
      </c>
      <c r="C6" s="188" t="n">
        <v>3700</v>
      </c>
    </row>
    <row r="7">
      <c r="A7" t="inlineStr">
        <is>
          <t>152.06.2106</t>
        </is>
      </c>
      <c r="B7" t="inlineStr">
        <is>
          <t>Trend  Pro Çelik Kapı Ayarlı 3 ( 2 m² )</t>
        </is>
      </c>
      <c r="C7" s="188" t="n">
        <v>4000</v>
      </c>
    </row>
    <row r="8">
      <c r="A8" t="inlineStr">
        <is>
          <t>152.06.2204</t>
        </is>
      </c>
      <c r="B8" t="inlineStr">
        <is>
          <t>Milano Pro Çelik Kapı Ayarlı 1 ( 2 m² )</t>
        </is>
      </c>
      <c r="C8" s="188" t="n">
        <v>3500</v>
      </c>
    </row>
    <row r="9">
      <c r="A9" t="inlineStr">
        <is>
          <t>152.06.2205</t>
        </is>
      </c>
      <c r="B9" t="inlineStr">
        <is>
          <t>Milano Pro Çelik Kapı Ayarlı 2 ( 2 m² )</t>
        </is>
      </c>
      <c r="C9" s="188" t="n">
        <v>3700</v>
      </c>
    </row>
    <row r="10">
      <c r="A10" t="inlineStr">
        <is>
          <t>152.06.2206</t>
        </is>
      </c>
      <c r="B10" t="inlineStr">
        <is>
          <t>Milano Pro Çelik Kapı Ayarlı 3 ( 2 m² )</t>
        </is>
      </c>
      <c r="C10" s="188" t="n">
        <v>4000</v>
      </c>
    </row>
    <row r="11">
      <c r="A11" t="inlineStr">
        <is>
          <t>152.06.2250</t>
        </is>
      </c>
      <c r="B11" t="inlineStr">
        <is>
          <t>Çelik Kapı Kasa (15*20) Kaplama</t>
        </is>
      </c>
      <c r="C11" s="188" t="n">
        <v>1700</v>
      </c>
    </row>
    <row r="12">
      <c r="A12" t="inlineStr">
        <is>
          <t>152.06.2251</t>
        </is>
      </c>
      <c r="B12" t="inlineStr">
        <is>
          <t>Çelik Kapı Kasa (20*25) Kaplama</t>
        </is>
      </c>
      <c r="C12" s="188" t="n">
        <v>1800</v>
      </c>
    </row>
    <row r="13">
      <c r="A13" t="inlineStr">
        <is>
          <t>152.06.2252</t>
        </is>
      </c>
      <c r="B13" t="inlineStr">
        <is>
          <t>Çelik Kapı Kasa (25*30) Kaplama</t>
        </is>
      </c>
      <c r="C13" s="188" t="n">
        <v>1900</v>
      </c>
    </row>
    <row r="14">
      <c r="A14" t="inlineStr">
        <is>
          <t>152.06.2401</t>
        </is>
      </c>
      <c r="B14" t="inlineStr">
        <is>
          <t xml:space="preserve">Lazer Kesim Çelik Kapı : 1 (2 m²) </t>
        </is>
      </c>
      <c r="C14" s="188" t="n">
        <v>5000</v>
      </c>
    </row>
    <row r="15">
      <c r="A15" t="inlineStr">
        <is>
          <t>152.06.2402</t>
        </is>
      </c>
      <c r="B15" t="inlineStr">
        <is>
          <t xml:space="preserve">Lazer Kesim Çelik Kapı : 2 (2 m²) </t>
        </is>
      </c>
      <c r="C15" s="188" t="n">
        <v>6000</v>
      </c>
    </row>
    <row r="16">
      <c r="A16" t="inlineStr">
        <is>
          <t>152.06.2403</t>
        </is>
      </c>
      <c r="B16" t="inlineStr">
        <is>
          <t xml:space="preserve">Lazer Kesim Çelik Kapı : 3 (2 m²) </t>
        </is>
      </c>
      <c r="C16" s="188" t="n">
        <v>7000</v>
      </c>
    </row>
    <row r="17">
      <c r="A17" t="inlineStr">
        <is>
          <t>152.06.2501</t>
        </is>
      </c>
      <c r="B17" t="inlineStr">
        <is>
          <t xml:space="preserve">Dekoratif Çelik Kapı : 1 (2 m²) </t>
        </is>
      </c>
      <c r="C17" s="188" t="n">
        <v>5000</v>
      </c>
    </row>
    <row r="18">
      <c r="A18" t="inlineStr">
        <is>
          <t>152.06.2502</t>
        </is>
      </c>
      <c r="B18" t="inlineStr">
        <is>
          <t xml:space="preserve">Dekoratif Çelik Kapı : 2 (2 m²) </t>
        </is>
      </c>
      <c r="C18" s="188" t="n">
        <v>6000</v>
      </c>
    </row>
    <row r="19">
      <c r="A19" t="inlineStr">
        <is>
          <t>152.06.2503</t>
        </is>
      </c>
      <c r="B19" t="inlineStr">
        <is>
          <t xml:space="preserve">Dekoratif Çelik Kapı : 3 (2 m²) </t>
        </is>
      </c>
      <c r="C19" s="188" t="n">
        <v>7000</v>
      </c>
    </row>
    <row r="20">
      <c r="A20" t="inlineStr">
        <is>
          <t>152.06.2701</t>
        </is>
      </c>
      <c r="B20" t="inlineStr">
        <is>
          <t xml:space="preserve">Acil Çelik Kapı : 1 (2 m²) </t>
        </is>
      </c>
      <c r="C20" s="188" t="n">
        <v>3500</v>
      </c>
    </row>
    <row r="21">
      <c r="A21" t="inlineStr">
        <is>
          <t>152.06.2702</t>
        </is>
      </c>
      <c r="B21" t="inlineStr">
        <is>
          <t xml:space="preserve">Acil Çelik Kapı : 2 (2 m²) </t>
        </is>
      </c>
      <c r="C21" s="188" t="n">
        <v>3700</v>
      </c>
    </row>
    <row r="22">
      <c r="A22" t="inlineStr">
        <is>
          <t>152.06.2703</t>
        </is>
      </c>
      <c r="B22" t="inlineStr">
        <is>
          <t xml:space="preserve">Acil Çelik Kapı : 3 (2 m²) </t>
        </is>
      </c>
      <c r="C22" s="188" t="n">
        <v>4000</v>
      </c>
    </row>
    <row r="23">
      <c r="A23" t="inlineStr">
        <is>
          <t>152.06.2751</t>
        </is>
      </c>
      <c r="B23" t="inlineStr">
        <is>
          <t xml:space="preserve">Acil Çelik Kapı Silindirli : 1 (2 m²) </t>
        </is>
      </c>
      <c r="C23" s="188" t="n">
        <v>3500</v>
      </c>
    </row>
    <row r="24">
      <c r="A24" t="inlineStr">
        <is>
          <t>152.06.2752</t>
        </is>
      </c>
      <c r="B24" t="inlineStr">
        <is>
          <t xml:space="preserve">Acil Çelik Kapı Silindirli : 2 (2 m²) </t>
        </is>
      </c>
      <c r="C24" s="188" t="n">
        <v>3700</v>
      </c>
    </row>
    <row r="25">
      <c r="A25" t="inlineStr">
        <is>
          <t>152.06.2753</t>
        </is>
      </c>
      <c r="B25" t="inlineStr">
        <is>
          <t xml:space="preserve">Acil Çelik Kapı Silindirli : 3 (2 m²) </t>
        </is>
      </c>
      <c r="C25" s="188" t="n">
        <v>4000</v>
      </c>
    </row>
    <row r="26">
      <c r="A26" t="inlineStr">
        <is>
          <t>152.06.2801</t>
        </is>
      </c>
      <c r="B26" t="inlineStr">
        <is>
          <t xml:space="preserve">Yangın TSE EN 16034 Çelik Kapı : 1 (2 m²) </t>
        </is>
      </c>
      <c r="C26" s="188" t="n">
        <v>3500</v>
      </c>
    </row>
    <row r="27">
      <c r="A27" t="inlineStr">
        <is>
          <t>152.06.2802</t>
        </is>
      </c>
      <c r="B27" t="inlineStr">
        <is>
          <t xml:space="preserve">Yangın TSE EN 16034 Çelik Kapı : 2 (2 m²) </t>
        </is>
      </c>
      <c r="C27" s="188" t="n">
        <v>3700</v>
      </c>
    </row>
    <row r="28">
      <c r="A28" t="inlineStr">
        <is>
          <t>152.06.2803</t>
        </is>
      </c>
      <c r="B28" t="inlineStr">
        <is>
          <t xml:space="preserve">Yangın TSE EN 16034 Çelik Kapı : 3 (2 m²) </t>
        </is>
      </c>
      <c r="C28" s="188" t="n">
        <v>4000</v>
      </c>
    </row>
    <row r="29">
      <c r="A29" t="inlineStr">
        <is>
          <t>152.06.2804</t>
        </is>
      </c>
      <c r="B29" t="inlineStr">
        <is>
          <t xml:space="preserve">Toki Yangın TSE Çelik Kapı : 1 (2 m²) </t>
        </is>
      </c>
      <c r="C29" s="188" t="n">
        <v>4000</v>
      </c>
    </row>
    <row r="30">
      <c r="A30" t="inlineStr">
        <is>
          <t>152.06.2805</t>
        </is>
      </c>
      <c r="B30" t="inlineStr">
        <is>
          <t xml:space="preserve">Toki Yangın TSE Çelik Kapı : 2 (2 m²) </t>
        </is>
      </c>
      <c r="C30" s="188" t="n">
        <v>4500</v>
      </c>
    </row>
    <row r="31">
      <c r="A31" t="inlineStr">
        <is>
          <t>152.06.2901</t>
        </is>
      </c>
      <c r="B31" t="inlineStr">
        <is>
          <t xml:space="preserve">Toki Çelik Kapı : 1 (2 m²) </t>
        </is>
      </c>
      <c r="C31" s="188" t="n">
        <v>4700</v>
      </c>
    </row>
    <row r="32">
      <c r="A32" t="inlineStr">
        <is>
          <t>152.06.2902</t>
        </is>
      </c>
      <c r="B32" t="inlineStr">
        <is>
          <t xml:space="preserve">Toki Çelik Kapı : 2 (2 m²) </t>
        </is>
      </c>
      <c r="C32" s="188" t="n">
        <v>5000</v>
      </c>
    </row>
    <row r="33">
      <c r="A33" t="inlineStr">
        <is>
          <t>152.06.2903</t>
        </is>
      </c>
      <c r="B33" t="inlineStr">
        <is>
          <t xml:space="preserve">Toki DK 1 (20-25*100*220) </t>
        </is>
      </c>
      <c r="C33" s="188" t="n">
        <v>3500</v>
      </c>
    </row>
    <row r="34">
      <c r="A34" t="inlineStr">
        <is>
          <t>152.06.2904</t>
        </is>
      </c>
      <c r="B34" t="inlineStr">
        <is>
          <t>Toki DK 2 (20-25*100*220) (Duman Sızdırmaz)</t>
        </is>
      </c>
      <c r="C34" s="188" t="n">
        <v>3500</v>
      </c>
    </row>
    <row r="35">
      <c r="A35" t="inlineStr">
        <is>
          <t>152.06.2905</t>
        </is>
      </c>
      <c r="B35" t="inlineStr">
        <is>
          <t>Toki DK 1 (20-25*100*220) Çift  Menfez</t>
        </is>
      </c>
      <c r="C35" s="188" t="n">
        <v>3500</v>
      </c>
    </row>
    <row r="36">
      <c r="A36" t="inlineStr">
        <is>
          <t>152.06.2906</t>
        </is>
      </c>
      <c r="B36" t="inlineStr">
        <is>
          <t>Toki DK 4 (20-25*100*220) Tek Menfez</t>
        </is>
      </c>
      <c r="C36" s="188" t="n">
        <v>3500</v>
      </c>
    </row>
    <row r="37">
      <c r="A37" t="inlineStr">
        <is>
          <t>152.06.2907</t>
        </is>
      </c>
      <c r="B37" t="inlineStr">
        <is>
          <t>Toki DK 5 (20-25*160*220) Çift Menfez</t>
        </is>
      </c>
      <c r="C37" s="188" t="n">
        <v>6500</v>
      </c>
    </row>
    <row r="38">
      <c r="A38" t="inlineStr">
        <is>
          <t>152.06.2908</t>
        </is>
      </c>
      <c r="B38" t="inlineStr">
        <is>
          <t>Toki DK 6 (20-25*160*220)</t>
        </is>
      </c>
      <c r="C38" s="188" t="n">
        <v>6500</v>
      </c>
    </row>
    <row r="39">
      <c r="A39" t="inlineStr">
        <is>
          <t>152.06.2909</t>
        </is>
      </c>
      <c r="B39" t="inlineStr">
        <is>
          <t>Toki Çelik Kapı Krom 1(2m2)</t>
        </is>
      </c>
      <c r="C39" s="188" t="n">
        <v>5000</v>
      </c>
    </row>
    <row r="40">
      <c r="A40" t="inlineStr">
        <is>
          <t>152.06.2950</t>
        </is>
      </c>
      <c r="B40" t="inlineStr">
        <is>
          <t xml:space="preserve">Şaft Kapağı 0,50 m² </t>
        </is>
      </c>
      <c r="C40" s="188" t="n">
        <v>1500</v>
      </c>
    </row>
    <row r="41">
      <c r="A41" t="inlineStr">
        <is>
          <t>152.06.2951</t>
        </is>
      </c>
      <c r="B41" t="inlineStr">
        <is>
          <t xml:space="preserve">Şaft Kapağı 0,75 m² </t>
        </is>
      </c>
      <c r="C41" s="188" t="n">
        <v>2000</v>
      </c>
    </row>
    <row r="42">
      <c r="A42" t="inlineStr">
        <is>
          <t>152.06.2952</t>
        </is>
      </c>
      <c r="B42" t="inlineStr">
        <is>
          <t xml:space="preserve">Şaft Kapağı 1,00 m² </t>
        </is>
      </c>
      <c r="C42" s="188" t="n">
        <v>2500</v>
      </c>
    </row>
    <row r="43">
      <c r="A43" t="inlineStr">
        <is>
          <t>152.06.2953</t>
        </is>
      </c>
      <c r="B43" t="inlineStr">
        <is>
          <t xml:space="preserve">Şaft Kapağı 1,25 m² </t>
        </is>
      </c>
      <c r="C43" s="188" t="n">
        <v>3000</v>
      </c>
    </row>
    <row r="44">
      <c r="A44" t="inlineStr">
        <is>
          <t>152.06.2954</t>
        </is>
      </c>
      <c r="B44" t="inlineStr">
        <is>
          <t xml:space="preserve">Şaft Kapağı 1,50 m² </t>
        </is>
      </c>
      <c r="C44" s="188" t="n">
        <v>3500</v>
      </c>
    </row>
    <row r="45">
      <c r="A45" t="inlineStr">
        <is>
          <t>152.06.2956"</t>
        </is>
      </c>
      <c r="B45" t="inlineStr">
        <is>
          <t xml:space="preserve">Şaft Kapağı Pano Tipi 0,50  m² </t>
        </is>
      </c>
      <c r="C45" s="188" t="n">
        <v>1500</v>
      </c>
    </row>
    <row r="46">
      <c r="A46" t="inlineStr">
        <is>
          <t>152.06.2957</t>
        </is>
      </c>
      <c r="B46" t="inlineStr">
        <is>
          <t xml:space="preserve">Şaft Kapağı Pano Tipi 0,75  m² </t>
        </is>
      </c>
      <c r="C46" s="188" t="n">
        <v>2000</v>
      </c>
    </row>
    <row r="47">
      <c r="A47" t="inlineStr">
        <is>
          <t>152.06.2958</t>
        </is>
      </c>
      <c r="B47" t="inlineStr">
        <is>
          <t xml:space="preserve">Şaft Kapağı Pano Tipi 1  m² </t>
        </is>
      </c>
      <c r="C47" s="188" t="n">
        <v>2500</v>
      </c>
    </row>
    <row r="48">
      <c r="A48" t="inlineStr">
        <is>
          <t>152.06.2959</t>
        </is>
      </c>
      <c r="B48" t="inlineStr">
        <is>
          <t xml:space="preserve">Şaft Kapağı Pano Tipi 1,25  m² </t>
        </is>
      </c>
      <c r="C48" s="188" t="n">
        <v>3000</v>
      </c>
    </row>
    <row r="49">
      <c r="A49" t="inlineStr">
        <is>
          <t>152.06.2960</t>
        </is>
      </c>
      <c r="B49" t="inlineStr">
        <is>
          <t xml:space="preserve">Şaft Kapağı Pano Tipi 1,5  m² </t>
        </is>
      </c>
      <c r="C49" s="188" t="n">
        <v>4000</v>
      </c>
    </row>
    <row r="50">
      <c r="A50" t="inlineStr">
        <is>
          <t>151.06.2001</t>
        </is>
      </c>
      <c r="B50" t="inlineStr">
        <is>
          <t>Metal İ.K ATipi Ayarlı Kasa 10*15cm (2m2)1.50mm</t>
        </is>
      </c>
      <c r="C50" s="188" t="n">
        <v>2500</v>
      </c>
    </row>
    <row r="51">
      <c r="A51" t="inlineStr">
        <is>
          <t>151.06.2002</t>
        </is>
      </c>
      <c r="B51" t="inlineStr">
        <is>
          <t>Metal İ.K ATipi Ayarlı Kasa 15*20cm (2m2)1.50mm</t>
        </is>
      </c>
      <c r="C51" s="188" t="n">
        <v>2500</v>
      </c>
    </row>
    <row r="52">
      <c r="A52" t="inlineStr">
        <is>
          <t>151.06.2003</t>
        </is>
      </c>
      <c r="B52" t="inlineStr">
        <is>
          <t>Metal İ.K ATipi Ayarlı Kasa 20*25cm (2m2)1.50mm</t>
        </is>
      </c>
      <c r="C52" s="188" t="n">
        <v>2500</v>
      </c>
    </row>
    <row r="53">
      <c r="A53" t="inlineStr">
        <is>
          <t>151.06.2004</t>
        </is>
      </c>
      <c r="B53" t="inlineStr">
        <is>
          <t>Metal İ.K ATipi Ayarlı Kasa 25*30cm (2m2)1.50mm</t>
        </is>
      </c>
      <c r="C53" s="188" t="n">
        <v>2500</v>
      </c>
    </row>
    <row r="54">
      <c r="A54" t="inlineStr">
        <is>
          <t>151.06.2201</t>
        </is>
      </c>
      <c r="B54" t="inlineStr">
        <is>
          <t>Metal İ.K ATipi Ayarlı Kasa 10*15cm (2m²) 2 mm</t>
        </is>
      </c>
      <c r="C54" s="188" t="n">
        <v>2500</v>
      </c>
    </row>
    <row r="55">
      <c r="A55" t="inlineStr">
        <is>
          <t>151.06.2202</t>
        </is>
      </c>
      <c r="B55" t="inlineStr">
        <is>
          <t>Metal İ.K ATipi Ayarlı Kasa 15*20cm (2m²) 2 mm</t>
        </is>
      </c>
      <c r="C55" s="188" t="n">
        <v>2500</v>
      </c>
    </row>
    <row r="56">
      <c r="A56" t="inlineStr">
        <is>
          <t>151.06.2203</t>
        </is>
      </c>
      <c r="B56" t="inlineStr">
        <is>
          <t>Metal İ.K ATipi Ayarlı Kasa 20*25cm (2m²) 2 mm</t>
        </is>
      </c>
      <c r="C56" s="188" t="n">
        <v>2500</v>
      </c>
    </row>
    <row r="57">
      <c r="A57" t="inlineStr">
        <is>
          <t>151.06.2204</t>
        </is>
      </c>
      <c r="B57" t="inlineStr">
        <is>
          <t>Metal İ.K ATipi Ayarlı Kasa 25*30cm (2m²) 2 mm</t>
        </is>
      </c>
      <c r="C57" s="188" t="n">
        <v>2500</v>
      </c>
    </row>
    <row r="58">
      <c r="A58" t="inlineStr">
        <is>
          <t>151.06.2205</t>
        </is>
      </c>
      <c r="B58" t="inlineStr">
        <is>
          <t>Metal İ.K ATipi Ayarlı Kasa 30*35cm (2m²) 2 mm</t>
        </is>
      </c>
      <c r="C58" s="188" t="n">
        <v>2500</v>
      </c>
    </row>
    <row r="59">
      <c r="A59" t="inlineStr">
        <is>
          <t>151.06.2206</t>
        </is>
      </c>
      <c r="B59" t="inlineStr">
        <is>
          <t>Metal İ.K ATipi Ayarlı Kasa 35*40cm (2m²) 2 mm</t>
        </is>
      </c>
      <c r="C59" s="188" t="n">
        <v>2500</v>
      </c>
    </row>
    <row r="60">
      <c r="A60" t="inlineStr">
        <is>
          <t>150.06.0726</t>
        </is>
      </c>
      <c r="B60" t="inlineStr">
        <is>
          <t xml:space="preserve">ÇK Kale Kilit Takım Fiyat Farkı </t>
        </is>
      </c>
      <c r="C60" s="188" t="n">
        <v>0</v>
      </c>
    </row>
    <row r="61">
      <c r="A61" t="inlineStr">
        <is>
          <t>150.06.0404</t>
        </is>
      </c>
      <c r="B61" t="inlineStr">
        <is>
          <t xml:space="preserve">ÇK- Optima-Trend Ahşap Fiyat Farkı </t>
        </is>
      </c>
      <c r="C61" s="188" t="n">
        <v>0</v>
      </c>
    </row>
    <row r="62">
      <c r="A62" t="inlineStr">
        <is>
          <t>150.06.0452</t>
        </is>
      </c>
      <c r="B62" t="inlineStr">
        <is>
          <t xml:space="preserve">ÇK-Optima-Milano Ahşap Fiyat Farkı </t>
        </is>
      </c>
      <c r="C62" s="188" t="n">
        <v>0</v>
      </c>
    </row>
    <row r="63">
      <c r="A63" t="inlineStr">
        <is>
          <t>150.06.0417</t>
        </is>
      </c>
      <c r="B63" t="inlineStr">
        <is>
          <t>Çk-Trend-Milano Ahşap Fiyat Farkı</t>
        </is>
      </c>
      <c r="C63" s="188" t="n">
        <v>0</v>
      </c>
    </row>
    <row r="64">
      <c r="A64" t="inlineStr">
        <is>
          <t>152.26.001</t>
        </is>
      </c>
      <c r="B64" t="inlineStr">
        <is>
          <t>Pvc Membran-1 Kanat-Pvc Kasa 10 cm-9 cm 8 mm Takım</t>
        </is>
      </c>
      <c r="C64" s="188" t="n">
        <v>2250</v>
      </c>
    </row>
    <row r="65">
      <c r="A65" t="inlineStr">
        <is>
          <t>152.26.003</t>
        </is>
      </c>
      <c r="B65" t="inlineStr">
        <is>
          <t>Pvc Membran- Kanat-Pvc Kasa 12 cm-9 cm 8 mm Takım</t>
        </is>
      </c>
      <c r="C65" s="188" t="n">
        <v>2250</v>
      </c>
    </row>
    <row r="66">
      <c r="A66" t="inlineStr">
        <is>
          <t>152.26.005</t>
        </is>
      </c>
      <c r="B66" t="inlineStr">
        <is>
          <t>Pvc Membran- Kanat-Pvc Kasa 14 cm-9 cm 8 mm Takım</t>
        </is>
      </c>
      <c r="C66" s="188" t="n">
        <v>2500</v>
      </c>
    </row>
    <row r="67">
      <c r="A67" t="inlineStr">
        <is>
          <t>152.26.007</t>
        </is>
      </c>
      <c r="B67" t="inlineStr">
        <is>
          <t>Pvc Membran- Kanat-Pvc Kasa 16 cm-9 cm 8 mm Takım</t>
        </is>
      </c>
      <c r="C67" s="188" t="n">
        <v>2800</v>
      </c>
    </row>
    <row r="68">
      <c r="A68" t="inlineStr">
        <is>
          <t>152.26.011</t>
        </is>
      </c>
      <c r="B68" t="inlineStr">
        <is>
          <t>Pvc Membran-1 Kanat-Pvc Kasa 10 cm-9 cm 10 mm Takım</t>
        </is>
      </c>
      <c r="C68" s="188" t="n">
        <v>2250</v>
      </c>
    </row>
    <row r="69">
      <c r="A69" t="inlineStr">
        <is>
          <t>152.26.013</t>
        </is>
      </c>
      <c r="B69" t="inlineStr">
        <is>
          <t>Pvc Membran-1 Kanat-Pvc Kasa 12 cm-9 cm 10 mm Takım</t>
        </is>
      </c>
      <c r="C69" s="188" t="n">
        <v>2250</v>
      </c>
    </row>
    <row r="70">
      <c r="A70" t="inlineStr">
        <is>
          <t>152.26.015</t>
        </is>
      </c>
      <c r="B70" t="inlineStr">
        <is>
          <t>Pvc Membran-1 Kanat-Pvc Kasa 14 cm-9 cm 10 mm Takım</t>
        </is>
      </c>
      <c r="C70" s="188" t="n">
        <v>2500</v>
      </c>
    </row>
    <row r="71">
      <c r="A71" t="inlineStr">
        <is>
          <t>152.26.017</t>
        </is>
      </c>
      <c r="B71" t="inlineStr">
        <is>
          <t>Pvc Membran-1 Kanat-Pvc Kasa 16 cm-9 cm 10 mm Takım</t>
        </is>
      </c>
      <c r="C71" s="188" t="n">
        <v>2800</v>
      </c>
    </row>
    <row r="72">
      <c r="A72" t="inlineStr">
        <is>
          <t>152.26.021</t>
        </is>
      </c>
      <c r="B72" t="inlineStr">
        <is>
          <t>Lake-1 Kanat-Pvc Kasa 10 cm-9 cm 10 mm Takım</t>
        </is>
      </c>
      <c r="C72" s="188" t="n">
        <v>3500</v>
      </c>
    </row>
    <row r="73">
      <c r="A73" t="inlineStr">
        <is>
          <t>152.26.023</t>
        </is>
      </c>
      <c r="B73" t="inlineStr">
        <is>
          <t>Lake-1 Kanat-Pvc Kasa 12 cm-9 cm 10 mm Takım</t>
        </is>
      </c>
      <c r="C73" s="188" t="n">
        <v>3600</v>
      </c>
    </row>
    <row r="74">
      <c r="A74" t="inlineStr">
        <is>
          <t>152.26.025</t>
        </is>
      </c>
      <c r="B74" t="inlineStr">
        <is>
          <t>Lake-1 Kanat-Pvc Kasa 14 cm-9 cm 10 mm Takım</t>
        </is>
      </c>
      <c r="C74" s="188" t="n">
        <v>3700</v>
      </c>
    </row>
    <row r="75">
      <c r="A75" t="inlineStr">
        <is>
          <t>152.26.027</t>
        </is>
      </c>
      <c r="B75" t="inlineStr">
        <is>
          <t>Lake-1 Kanat-Pvc Kasa 16 cm-9 cm 10 mm Takım</t>
        </is>
      </c>
      <c r="C75" s="188" t="n">
        <v>3800</v>
      </c>
    </row>
    <row r="76">
      <c r="A76" t="inlineStr">
        <is>
          <t>152.26.030</t>
        </is>
      </c>
      <c r="B76" t="inlineStr">
        <is>
          <t>Camlı Çıtalı (Cam Hariç) Fiyat Adeti</t>
        </is>
      </c>
      <c r="C76" s="188" t="n">
        <v>0</v>
      </c>
    </row>
    <row r="77">
      <c r="A77" t="inlineStr">
        <is>
          <t>152.26.031</t>
        </is>
      </c>
      <c r="B77" t="inlineStr">
        <is>
          <t>Oda&amp;Kilit-Menteşe Takım</t>
        </is>
      </c>
      <c r="C77" s="188" t="n">
        <v>0</v>
      </c>
    </row>
    <row r="78">
      <c r="A78" t="inlineStr">
        <is>
          <t>152.26.032</t>
        </is>
      </c>
      <c r="B78" t="inlineStr">
        <is>
          <t xml:space="preserve">Silindirli Kilit Menteşe Takım </t>
        </is>
      </c>
      <c r="C78" s="188" t="n">
        <v>0</v>
      </c>
    </row>
    <row r="79">
      <c r="A79" t="inlineStr">
        <is>
          <t>152.26.033</t>
        </is>
      </c>
      <c r="B79" t="inlineStr">
        <is>
          <t>Pervaz Takımı 9cm*18mm Fiyat Farkı Adet</t>
        </is>
      </c>
      <c r="C79" s="188" t="n">
        <v>0</v>
      </c>
    </row>
    <row r="80">
      <c r="A80" t="inlineStr">
        <is>
          <t>152.27.001</t>
        </is>
      </c>
      <c r="B80" t="inlineStr">
        <is>
          <t xml:space="preserve">10 CM KASA-9 CM 8 MM Pervaz TAKIM </t>
        </is>
      </c>
      <c r="C80" s="188" t="n">
        <v>1500</v>
      </c>
    </row>
    <row r="81">
      <c r="A81" t="inlineStr">
        <is>
          <t>152.27.003</t>
        </is>
      </c>
      <c r="B81" t="inlineStr">
        <is>
          <t xml:space="preserve">12 CM KASA-9 CM 8 MM Pervaz TAKIM </t>
        </is>
      </c>
      <c r="C81" s="188" t="n">
        <v>1500</v>
      </c>
    </row>
    <row r="82">
      <c r="A82" t="inlineStr">
        <is>
          <t>152.27.005</t>
        </is>
      </c>
      <c r="B82" t="inlineStr">
        <is>
          <t xml:space="preserve">14 CM KASA-9 CM 8 MM Pervaz TAKIM </t>
        </is>
      </c>
      <c r="C82" s="188" t="n">
        <v>1500</v>
      </c>
    </row>
    <row r="83">
      <c r="A83" t="inlineStr">
        <is>
          <t>152.27.007</t>
        </is>
      </c>
      <c r="B83" t="inlineStr">
        <is>
          <t xml:space="preserve">16 CM KASA-9 CM 8 MM Pervaz TAKIM </t>
        </is>
      </c>
      <c r="C83" s="188" t="n">
        <v>1500</v>
      </c>
    </row>
    <row r="84">
      <c r="A84" t="inlineStr">
        <is>
          <t>152.27.009</t>
        </is>
      </c>
      <c r="B84" t="inlineStr">
        <is>
          <t xml:space="preserve">20 CM KASA-9 CM 8 MM Pervaz TAKIM </t>
        </is>
      </c>
      <c r="C84" s="188" t="n">
        <v>1500</v>
      </c>
    </row>
    <row r="85">
      <c r="A85" t="inlineStr">
        <is>
          <t>152.27.011</t>
        </is>
      </c>
      <c r="B85" t="inlineStr">
        <is>
          <t xml:space="preserve">10 CM KASA-9 CM 10 MM Pervaz TAKIM </t>
        </is>
      </c>
      <c r="C85" s="188" t="n">
        <v>1500</v>
      </c>
    </row>
    <row r="86">
      <c r="A86" t="inlineStr">
        <is>
          <t>152.27.013</t>
        </is>
      </c>
      <c r="B86" t="inlineStr">
        <is>
          <t xml:space="preserve">12 CM KASA-9 CM 10 MM Pervaz TAKIM </t>
        </is>
      </c>
      <c r="C86" s="188" t="n">
        <v>1500</v>
      </c>
    </row>
    <row r="87">
      <c r="A87" t="inlineStr">
        <is>
          <t>152.27.015</t>
        </is>
      </c>
      <c r="B87" t="inlineStr">
        <is>
          <t xml:space="preserve">14 CM KASA-9 CM 10 MM Pervaz TAKIM </t>
        </is>
      </c>
      <c r="C87" s="188" t="n">
        <v>1500</v>
      </c>
    </row>
    <row r="88">
      <c r="A88" t="inlineStr">
        <is>
          <t>152.27.017</t>
        </is>
      </c>
      <c r="B88" t="inlineStr">
        <is>
          <t xml:space="preserve">16 CM KASA-9 CM 10 MM Pervaz TAKIM </t>
        </is>
      </c>
      <c r="C88" s="188" t="n">
        <v>1500</v>
      </c>
    </row>
    <row r="89">
      <c r="A89" t="inlineStr">
        <is>
          <t>152.27.019</t>
        </is>
      </c>
      <c r="B89" t="inlineStr">
        <is>
          <t xml:space="preserve">20 CM KASA-9 CM 10 MM Pervaz TAKIM </t>
        </is>
      </c>
      <c r="C89" s="188" t="n">
        <v>1500</v>
      </c>
    </row>
    <row r="90">
      <c r="A90" t="inlineStr">
        <is>
          <t>151.10.0001</t>
        </is>
      </c>
      <c r="B90" t="inlineStr">
        <is>
          <t>Pvc Camlı Kanat 1- Membran</t>
        </is>
      </c>
      <c r="C90" s="188" t="n">
        <v>0</v>
      </c>
    </row>
    <row r="91">
      <c r="A91" t="inlineStr">
        <is>
          <t>151.10.0002</t>
        </is>
      </c>
      <c r="B91" t="inlineStr">
        <is>
          <t xml:space="preserve">Pvc Camlı Kanat 2-Membran </t>
        </is>
      </c>
      <c r="C91" s="188" t="n">
        <v>0</v>
      </c>
    </row>
    <row r="92">
      <c r="A92" t="inlineStr">
        <is>
          <t>151.10.0003</t>
        </is>
      </c>
      <c r="B92" t="inlineStr">
        <is>
          <t>Pvc Camlı Kanat 1-Newlıne</t>
        </is>
      </c>
      <c r="C92" s="188" t="n">
        <v>0</v>
      </c>
    </row>
    <row r="93">
      <c r="A93" t="inlineStr">
        <is>
          <t>151.10.0004</t>
        </is>
      </c>
      <c r="B93" t="inlineStr">
        <is>
          <t>Pvc Camlı Kanat 2-Newlıne</t>
        </is>
      </c>
      <c r="C93" s="188" t="n">
        <v>0</v>
      </c>
    </row>
    <row r="94">
      <c r="A94" t="inlineStr">
        <is>
          <t>151.10.0005</t>
        </is>
      </c>
      <c r="B94" t="inlineStr">
        <is>
          <t>Pvc Camlı Kanat 1- Fugalı</t>
        </is>
      </c>
      <c r="C94" s="188" t="n">
        <v>0</v>
      </c>
    </row>
    <row r="95">
      <c r="A95" t="inlineStr">
        <is>
          <t>151.10.0006</t>
        </is>
      </c>
      <c r="B95" t="inlineStr">
        <is>
          <t xml:space="preserve">Pvc Camlı Kanat 2-Fugalı </t>
        </is>
      </c>
      <c r="C95" s="188" t="n">
        <v>0</v>
      </c>
    </row>
    <row r="96">
      <c r="A96" t="inlineStr">
        <is>
          <t>151.10.0007</t>
        </is>
      </c>
      <c r="B96" t="inlineStr">
        <is>
          <t>Pvc Camlı Kanat 1- Baroniel</t>
        </is>
      </c>
      <c r="C96" s="188" t="n">
        <v>0</v>
      </c>
    </row>
    <row r="97">
      <c r="A97" t="inlineStr">
        <is>
          <t>151.10.0008</t>
        </is>
      </c>
      <c r="B97" t="inlineStr">
        <is>
          <t xml:space="preserve">Pvc Camlı Kanat 2-Baroniel </t>
        </is>
      </c>
      <c r="C97" s="188" t="n">
        <v>0</v>
      </c>
    </row>
    <row r="98">
      <c r="A98" t="inlineStr">
        <is>
          <t>151.10.0025</t>
        </is>
      </c>
      <c r="B98" t="inlineStr">
        <is>
          <t>Pvc Camlı Yavru Kanat Membran (20-50 cm)</t>
        </is>
      </c>
      <c r="C98" s="188" t="n">
        <v>0</v>
      </c>
    </row>
    <row r="99">
      <c r="A99" t="inlineStr">
        <is>
          <t>151.10.0028</t>
        </is>
      </c>
      <c r="B99" t="inlineStr">
        <is>
          <t>Pvc Camlı Yavru Kanat Newlıne (20-50 cm)</t>
        </is>
      </c>
      <c r="C99" s="188" t="n">
        <v>0</v>
      </c>
    </row>
    <row r="100">
      <c r="A100" t="inlineStr">
        <is>
          <t>151.10.0031</t>
        </is>
      </c>
      <c r="B100" t="inlineStr">
        <is>
          <t>Pvc Camlı Yavru Kanat Fugalı (20-50 cm)</t>
        </is>
      </c>
      <c r="C100" s="188" t="n">
        <v>0</v>
      </c>
    </row>
    <row r="101">
      <c r="A101" t="inlineStr">
        <is>
          <t>151.10.0034</t>
        </is>
      </c>
      <c r="B101" t="inlineStr">
        <is>
          <t>Pvc Camlı Yavru Kanat Baroniel (20-50 cm)</t>
        </is>
      </c>
      <c r="C101" s="188" t="n">
        <v>0</v>
      </c>
    </row>
    <row r="102">
      <c r="A102" t="inlineStr">
        <is>
          <t>151.10.0037</t>
        </is>
      </c>
      <c r="B102" t="inlineStr">
        <is>
          <t xml:space="preserve">Pvc Kapalı Kanat 1-Membran </t>
        </is>
      </c>
      <c r="C102" s="188" t="n">
        <v>0</v>
      </c>
    </row>
    <row r="103">
      <c r="A103" t="inlineStr">
        <is>
          <t>151.10.0038</t>
        </is>
      </c>
      <c r="B103" t="inlineStr">
        <is>
          <t xml:space="preserve">Pvc Kapalı Kanat 2-Membran </t>
        </is>
      </c>
      <c r="C103" s="188" t="n">
        <v>0</v>
      </c>
    </row>
    <row r="104">
      <c r="A104" t="inlineStr">
        <is>
          <t>151.10.0039</t>
        </is>
      </c>
      <c r="B104" t="inlineStr">
        <is>
          <t xml:space="preserve">Pvc Kapalı Kanat 1-Newlıne </t>
        </is>
      </c>
      <c r="C104" s="188" t="n">
        <v>0</v>
      </c>
    </row>
    <row r="105">
      <c r="A105" t="inlineStr">
        <is>
          <t>151.10.0040</t>
        </is>
      </c>
      <c r="B105" t="inlineStr">
        <is>
          <t xml:space="preserve">Pvc Kapalı Kanat 2-Newlıne </t>
        </is>
      </c>
      <c r="C105" s="188" t="n">
        <v>0</v>
      </c>
    </row>
    <row r="106">
      <c r="A106" t="inlineStr">
        <is>
          <t>151.10.0041</t>
        </is>
      </c>
      <c r="B106" t="inlineStr">
        <is>
          <t xml:space="preserve">Pvc Kapalı Kanat 1-Fugalı </t>
        </is>
      </c>
      <c r="C106" s="188" t="n">
        <v>0</v>
      </c>
    </row>
    <row r="107">
      <c r="A107" t="inlineStr">
        <is>
          <t>151.10.0042</t>
        </is>
      </c>
      <c r="B107" t="inlineStr">
        <is>
          <t xml:space="preserve">Pvc Kapalı Kanat 2-Fugalı </t>
        </is>
      </c>
      <c r="C107" s="188" t="n">
        <v>0</v>
      </c>
    </row>
    <row r="108">
      <c r="A108" t="inlineStr">
        <is>
          <t>151.10.0043</t>
        </is>
      </c>
      <c r="B108" t="inlineStr">
        <is>
          <t xml:space="preserve">Pvc Kapalı Kanat 1-Baroniel </t>
        </is>
      </c>
      <c r="C108" s="188" t="n">
        <v>0</v>
      </c>
    </row>
    <row r="109">
      <c r="A109" t="inlineStr">
        <is>
          <t>151.10.0044</t>
        </is>
      </c>
      <c r="B109" t="inlineStr">
        <is>
          <t xml:space="preserve">Pvc Kapalı Kanat 2-Baroniel </t>
        </is>
      </c>
      <c r="C109" s="188" t="n">
        <v>0</v>
      </c>
    </row>
    <row r="110">
      <c r="A110" t="inlineStr">
        <is>
          <t>151.10.0061</t>
        </is>
      </c>
      <c r="B110" t="inlineStr">
        <is>
          <t>Pvc Kapalı Yavru Kanat Membran (20-50 cm)</t>
        </is>
      </c>
      <c r="C110" s="188" t="n">
        <v>0</v>
      </c>
    </row>
    <row r="111">
      <c r="A111" t="inlineStr">
        <is>
          <t>151.10.0064</t>
        </is>
      </c>
      <c r="B111" t="inlineStr">
        <is>
          <t>Pvc Kapalı Yavru Kanat Newlıne (20-50 cm)</t>
        </is>
      </c>
      <c r="C111" s="188" t="n">
        <v>0</v>
      </c>
    </row>
    <row r="112">
      <c r="A112" t="inlineStr">
        <is>
          <t>151.10.0067</t>
        </is>
      </c>
      <c r="B112" t="inlineStr">
        <is>
          <t>Pvc Kapalı Yavru Kanat Fugalı (20-50 cm)</t>
        </is>
      </c>
      <c r="C112" s="188" t="n">
        <v>0</v>
      </c>
    </row>
    <row r="113">
      <c r="A113" t="inlineStr">
        <is>
          <t>151.10.0070</t>
        </is>
      </c>
      <c r="B113" t="inlineStr">
        <is>
          <t>Pvc Kapalı Yavru Kanat Baroniel (20-50 cm)</t>
        </is>
      </c>
      <c r="C113" s="188" t="n">
        <v>0</v>
      </c>
    </row>
    <row r="114">
      <c r="A114" t="inlineStr">
        <is>
          <t>151.10.0201</t>
        </is>
      </c>
      <c r="B114" t="inlineStr">
        <is>
          <t>18*45 Lik Oda Kiliti ve 2mm Menteşe Takımı</t>
        </is>
      </c>
      <c r="C114" s="188" t="n">
        <v>0</v>
      </c>
    </row>
    <row r="115">
      <c r="A115" t="inlineStr">
        <is>
          <t>151.10.0202</t>
        </is>
      </c>
      <c r="B115" t="inlineStr">
        <is>
          <t>18*45 Lik Wc Kiliti ve 2mm Menteşe Takımı</t>
        </is>
      </c>
      <c r="C115" s="188" t="n">
        <v>0</v>
      </c>
    </row>
    <row r="116">
      <c r="A116" t="inlineStr">
        <is>
          <t>151.10.0203</t>
        </is>
      </c>
      <c r="B116" t="inlineStr">
        <is>
          <t>18*45 Lik Silindirli Kiliti ve 2mm Menteşe Takımı</t>
        </is>
      </c>
      <c r="C116" s="188" t="n">
        <v>0</v>
      </c>
    </row>
    <row r="117">
      <c r="A117" t="inlineStr">
        <is>
          <t>151.10.0204</t>
        </is>
      </c>
      <c r="B117" t="inlineStr">
        <is>
          <t>Raylı Kapı Aksesuar ve 2mm Menteşe Takımı</t>
        </is>
      </c>
      <c r="C117" s="188" t="n">
        <v>0</v>
      </c>
    </row>
    <row r="118">
      <c r="A118" t="inlineStr">
        <is>
          <t>151.10.0205</t>
        </is>
      </c>
      <c r="B118" t="inlineStr">
        <is>
          <t>18*45Lİk Silindirli Oda Plastik ve 2,5mm Menteşe Takımı</t>
        </is>
      </c>
      <c r="C118" s="188" t="n">
        <v>0</v>
      </c>
    </row>
    <row r="119">
      <c r="A119" t="inlineStr">
        <is>
          <t>151.10.0206</t>
        </is>
      </c>
      <c r="B119" t="inlineStr">
        <is>
          <t>Lake Kapalı Kanat 1</t>
        </is>
      </c>
      <c r="C119" s="188" t="n">
        <v>0</v>
      </c>
    </row>
    <row r="120">
      <c r="A120" t="inlineStr">
        <is>
          <t>151.10.0207</t>
        </is>
      </c>
      <c r="B120" t="inlineStr">
        <is>
          <t>Lake Kapalı Kanat 2</t>
        </is>
      </c>
      <c r="C120" s="188" t="n">
        <v>0</v>
      </c>
    </row>
    <row r="121">
      <c r="A121" t="inlineStr">
        <is>
          <t>151.10.0208</t>
        </is>
      </c>
      <c r="B121" t="inlineStr">
        <is>
          <t>Lake Polikarbon 0,65 m2 Camlı Kanat 2</t>
        </is>
      </c>
      <c r="C121" s="188" t="n">
        <v>0</v>
      </c>
    </row>
    <row r="122">
      <c r="A122" t="inlineStr">
        <is>
          <t>151.10.0209</t>
        </is>
      </c>
      <c r="B122" t="inlineStr">
        <is>
          <t>Lake Polikarbon 1,10 m2 Camlı Kanat 2</t>
        </is>
      </c>
      <c r="C122" s="188" t="n">
        <v>0</v>
      </c>
    </row>
    <row r="123">
      <c r="A123" t="inlineStr">
        <is>
          <t>151.10.0210</t>
        </is>
      </c>
      <c r="B123" t="inlineStr">
        <is>
          <t>Lake Camlı Kanat 1</t>
        </is>
      </c>
      <c r="C123" s="188" t="n">
        <v>0</v>
      </c>
    </row>
    <row r="124">
      <c r="A124" t="inlineStr">
        <is>
          <t>151.10.0211</t>
        </is>
      </c>
      <c r="B124" t="inlineStr">
        <is>
          <t>Lake Camlı Kanat 2</t>
        </is>
      </c>
      <c r="C124" s="188" t="n">
        <v>0</v>
      </c>
    </row>
    <row r="125">
      <c r="A125" t="inlineStr">
        <is>
          <t>151.10.1015</t>
        </is>
      </c>
      <c r="B125" t="inlineStr">
        <is>
          <t>İç Kapı Pvc Membran Panel 6 mm 93*210 cm</t>
        </is>
      </c>
      <c r="C125" s="188" t="n">
        <v>0</v>
      </c>
    </row>
    <row r="126">
      <c r="A126" t="inlineStr">
        <is>
          <t>151.10.1020</t>
        </is>
      </c>
      <c r="B126" t="inlineStr">
        <is>
          <t>İç Kapı Pvc Membran Panel 6 mm 83*210 cm</t>
        </is>
      </c>
      <c r="C126" s="188" t="n">
        <v>0</v>
      </c>
    </row>
    <row r="127">
      <c r="A127" t="inlineStr">
        <is>
          <t>151.10.1021</t>
        </is>
      </c>
      <c r="B127" t="inlineStr">
        <is>
          <t>Pvc Membran Panel 6 mm 83*220 cm</t>
        </is>
      </c>
      <c r="C127" s="188" t="n">
        <v>0</v>
      </c>
    </row>
    <row r="128">
      <c r="A128" t="inlineStr">
        <is>
          <t>151.10.1040</t>
        </is>
      </c>
      <c r="B128" t="inlineStr">
        <is>
          <t>Pvc Panel 4 mm 93*210 cm</t>
        </is>
      </c>
      <c r="C128" s="188" t="n">
        <v>0</v>
      </c>
    </row>
    <row r="129">
      <c r="A129" t="inlineStr">
        <is>
          <t>151.10.1045</t>
        </is>
      </c>
      <c r="B129" t="inlineStr">
        <is>
          <t>Pvc Panel 4 mm 83*210 cm</t>
        </is>
      </c>
      <c r="C129" s="188" t="n">
        <v>0</v>
      </c>
    </row>
    <row r="130">
      <c r="A130" t="inlineStr">
        <is>
          <t>151.10.1053</t>
        </is>
      </c>
      <c r="B130" t="inlineStr">
        <is>
          <t>Pvc Düz Panel 6 mm 83*210 cm</t>
        </is>
      </c>
      <c r="C130" s="188" t="n">
        <v>0</v>
      </c>
    </row>
    <row r="131">
      <c r="A131" t="inlineStr">
        <is>
          <t>151.10.1054</t>
        </is>
      </c>
      <c r="B131" t="inlineStr">
        <is>
          <t>Pvc Düz Panel 6 mm 93*210 cm</t>
        </is>
      </c>
      <c r="C131" s="188" t="n">
        <v>0</v>
      </c>
    </row>
    <row r="132">
      <c r="A132" t="inlineStr">
        <is>
          <t>151.10.1055</t>
        </is>
      </c>
      <c r="B132" t="inlineStr">
        <is>
          <t>Ham Kapalı Kanat 1</t>
        </is>
      </c>
      <c r="C132" s="188" t="n">
        <v>0</v>
      </c>
    </row>
    <row r="133">
      <c r="A133" t="inlineStr">
        <is>
          <t>151.10.1056</t>
        </is>
      </c>
      <c r="B133" t="inlineStr">
        <is>
          <t>Ham Kapalı Kanat 2</t>
        </is>
      </c>
      <c r="C133" s="188" t="n">
        <v>0</v>
      </c>
    </row>
    <row r="134">
      <c r="A134" t="inlineStr">
        <is>
          <t>151.10.1057</t>
        </is>
      </c>
      <c r="B134" t="inlineStr">
        <is>
          <t>Ham Camlı Kanat 1</t>
        </is>
      </c>
      <c r="C134" s="188" t="n">
        <v>0</v>
      </c>
    </row>
    <row r="135">
      <c r="A135" t="inlineStr">
        <is>
          <t>151.10.1058</t>
        </is>
      </c>
      <c r="B135" t="inlineStr">
        <is>
          <t>Ham Camlı Kanat 2</t>
        </is>
      </c>
      <c r="C135" s="188" t="n">
        <v>0</v>
      </c>
    </row>
    <row r="136">
      <c r="A136" t="inlineStr">
        <is>
          <t>151.10.1059</t>
        </is>
      </c>
      <c r="B136" t="inlineStr">
        <is>
          <t>Ham Panel 6mm 83*210 cm</t>
        </is>
      </c>
      <c r="C136" s="188" t="n">
        <v>0</v>
      </c>
    </row>
    <row r="137">
      <c r="A137" t="inlineStr">
        <is>
          <t>151.10.1060</t>
        </is>
      </c>
      <c r="B137" t="inlineStr">
        <is>
          <t>Ham Panel 6mm 93*210cm</t>
        </is>
      </c>
      <c r="C137" s="188" t="n">
        <v>0</v>
      </c>
    </row>
    <row r="138">
      <c r="A138" t="inlineStr">
        <is>
          <t>151.10.1061</t>
        </is>
      </c>
      <c r="B138" t="inlineStr">
        <is>
          <t>PVC  Kanat Giyotin-1 ( Polikarbon 0,65 m2)</t>
        </is>
      </c>
      <c r="C138" s="188" t="n">
        <v>0</v>
      </c>
    </row>
    <row r="139">
      <c r="A139" t="inlineStr">
        <is>
          <t>151.10.1062</t>
        </is>
      </c>
      <c r="B139" t="inlineStr">
        <is>
          <t>PVC  Kanat Giyotin-1( Polikarbon 1,10 m2)</t>
        </is>
      </c>
      <c r="C139" s="188" t="n">
        <v>0</v>
      </c>
    </row>
    <row r="140">
      <c r="A140" t="inlineStr">
        <is>
          <t>151.08.0001</t>
        </is>
      </c>
      <c r="B140" t="inlineStr">
        <is>
          <t>Pvc Mdf  Düz Kasa 36 mm 10*210 Cm</t>
        </is>
      </c>
      <c r="C140" s="188" t="n">
        <v>0</v>
      </c>
    </row>
    <row r="141">
      <c r="A141" t="inlineStr">
        <is>
          <t>151.08.0003</t>
        </is>
      </c>
      <c r="B141" t="inlineStr">
        <is>
          <t>Pvc Mdf  Düz Kasa 36 mm 12*210 Cm</t>
        </is>
      </c>
      <c r="C141" s="188" t="n">
        <v>0</v>
      </c>
    </row>
    <row r="142">
      <c r="A142" t="inlineStr">
        <is>
          <t>151.08.0005</t>
        </is>
      </c>
      <c r="B142" t="inlineStr">
        <is>
          <t>Pvc Mdf  Düz Kasa 36 mm 14*210 Cm</t>
        </is>
      </c>
      <c r="C142" s="188" t="n">
        <v>0</v>
      </c>
    </row>
    <row r="143">
      <c r="A143" t="inlineStr">
        <is>
          <t>151.08.0007</t>
        </is>
      </c>
      <c r="B143" t="inlineStr">
        <is>
          <t>Pvc Mdf  Düz Kasa 36 mm 16*210 Cm</t>
        </is>
      </c>
      <c r="C143" s="188" t="n">
        <v>0</v>
      </c>
    </row>
    <row r="144">
      <c r="A144" t="inlineStr">
        <is>
          <t>151.08.0009</t>
        </is>
      </c>
      <c r="B144" t="inlineStr">
        <is>
          <t>Pvc Mdf Düz Kasa 36 mm 18*210 Cm</t>
        </is>
      </c>
      <c r="C144" s="188" t="n">
        <v>0</v>
      </c>
    </row>
    <row r="145">
      <c r="A145" t="inlineStr">
        <is>
          <t>151.08.0011</t>
        </is>
      </c>
      <c r="B145" t="inlineStr">
        <is>
          <t>Pvc Mdf Düz Kasa 36 mm 20*210 Cm</t>
        </is>
      </c>
      <c r="C145" s="188" t="n">
        <v>0</v>
      </c>
    </row>
    <row r="146">
      <c r="A146" t="inlineStr">
        <is>
          <t>151.08.0401</t>
        </is>
      </c>
      <c r="B146" t="inlineStr">
        <is>
          <t>Pvc Plastik Düz Kasa 36 mm 10*210 Cm</t>
        </is>
      </c>
      <c r="C146" s="188" t="n">
        <v>0</v>
      </c>
    </row>
    <row r="147">
      <c r="A147" t="inlineStr">
        <is>
          <t>151.08.0402</t>
        </is>
      </c>
      <c r="B147" t="inlineStr">
        <is>
          <t>Pvc Plastik Düz Kasa 36 mm 12*210 Cm</t>
        </is>
      </c>
      <c r="C147" s="188" t="n">
        <v>0</v>
      </c>
    </row>
    <row r="148">
      <c r="A148" t="inlineStr">
        <is>
          <t>151.08.0405</t>
        </is>
      </c>
      <c r="B148" t="inlineStr">
        <is>
          <t>Pvc Plastik Bombeli  Kasa 36 mm 15*210 Cm</t>
        </is>
      </c>
      <c r="C148" s="188" t="n">
        <v>0</v>
      </c>
    </row>
    <row r="149">
      <c r="A149" t="inlineStr">
        <is>
          <t>151.08.0407</t>
        </is>
      </c>
      <c r="B149" t="inlineStr">
        <is>
          <t>Pvc Plastik Düz Kasa 36 mm 16*210 Cm</t>
        </is>
      </c>
      <c r="C149" s="188" t="n">
        <v>0</v>
      </c>
    </row>
    <row r="150">
      <c r="A150" t="inlineStr">
        <is>
          <t>151.08.0411</t>
        </is>
      </c>
      <c r="B150" t="inlineStr">
        <is>
          <t>Pvc Plastik Düz Kasa 36 mm 20*210 Cm</t>
        </is>
      </c>
      <c r="C150" s="188" t="n">
        <v>0</v>
      </c>
    </row>
    <row r="151">
      <c r="A151" t="inlineStr">
        <is>
          <t>151.08.0426</t>
        </is>
      </c>
      <c r="B151" t="inlineStr">
        <is>
          <t>Pvc Plastik Düz Kasa 36 mm 20*220 Cm</t>
        </is>
      </c>
      <c r="C151" s="188" t="n">
        <v>0</v>
      </c>
    </row>
    <row r="152">
      <c r="A152" t="inlineStr">
        <is>
          <t>151.08.0701</t>
        </is>
      </c>
      <c r="B152" t="inlineStr">
        <is>
          <t xml:space="preserve">Kasa-Pervaz Takım Sarfı 10+12'lük (220 Cm) Pvc MDF </t>
        </is>
      </c>
      <c r="C152" s="188" t="n">
        <v>0</v>
      </c>
    </row>
    <row r="153">
      <c r="A153" t="inlineStr">
        <is>
          <t>151.08.0702</t>
        </is>
      </c>
      <c r="B153" t="inlineStr">
        <is>
          <t xml:space="preserve">Kasa-Pervaz Takım Sarfı 14+16 'lik ( 220 Cm) Pvc  MDF </t>
        </is>
      </c>
      <c r="C153" s="188" t="n">
        <v>0</v>
      </c>
    </row>
    <row r="154">
      <c r="A154" t="inlineStr">
        <is>
          <t>151.08.0703</t>
        </is>
      </c>
      <c r="B154" t="inlineStr">
        <is>
          <t>Kasa-Pervaz Takım Sarfı 18+20'lik ( 220 Cm)Pvc  MDF</t>
        </is>
      </c>
      <c r="C154" s="188" t="n">
        <v>0</v>
      </c>
    </row>
    <row r="155">
      <c r="A155" t="inlineStr">
        <is>
          <t>151.08.0705</t>
        </is>
      </c>
      <c r="B155" t="inlineStr">
        <is>
          <t xml:space="preserve"> Kasa-Pervaz Takım Kartonsuz Sarfı 10+12'lük (220 Cm) Pvc MDF</t>
        </is>
      </c>
      <c r="C155" s="188" t="n">
        <v>0</v>
      </c>
    </row>
    <row r="156">
      <c r="A156" t="inlineStr">
        <is>
          <t>151.08.0706</t>
        </is>
      </c>
      <c r="B156" t="inlineStr">
        <is>
          <t xml:space="preserve">Kasa-Pervaz Takım Kartonsuz Sarfı 14+16 'lik </t>
        </is>
      </c>
      <c r="C156" s="188" t="n">
        <v>0</v>
      </c>
    </row>
    <row r="157">
      <c r="A157" t="inlineStr">
        <is>
          <t>151.08.0707</t>
        </is>
      </c>
      <c r="B157" t="inlineStr">
        <is>
          <t xml:space="preserve">Kasa-Pervaz Takım Kartonsuz Sarfı 20+22'lik ( 220 Cm)Pvc  MDF </t>
        </is>
      </c>
      <c r="C157" s="188" t="n">
        <v>0</v>
      </c>
    </row>
    <row r="158">
      <c r="A158" t="inlineStr">
        <is>
          <t>151.08.0709</t>
        </is>
      </c>
      <c r="B158" t="inlineStr">
        <is>
          <t xml:space="preserve">Kasa-Pervaz Takım  Sarfı 12 'lük ( 220 Cm) Pvc Plastik </t>
        </is>
      </c>
      <c r="C158" s="188" t="n">
        <v>0</v>
      </c>
    </row>
    <row r="159">
      <c r="A159" t="inlineStr">
        <is>
          <t>151.08.0710</t>
        </is>
      </c>
      <c r="B159" t="inlineStr">
        <is>
          <t xml:space="preserve"> Kasa-Pervaz Takım  Sarfı 16 'lik ( 220 Cm) Pvc Plastik</t>
        </is>
      </c>
      <c r="C159" s="188" t="n">
        <v>0</v>
      </c>
    </row>
    <row r="160">
      <c r="A160" t="inlineStr">
        <is>
          <t>151.08.0711</t>
        </is>
      </c>
      <c r="B160" t="inlineStr">
        <is>
          <t xml:space="preserve">Kasa-Pervaz Takım  Sarfı  20'lik ( 220 Cm) Pvc Plastik </t>
        </is>
      </c>
      <c r="C160" s="188" t="n">
        <v>0</v>
      </c>
    </row>
    <row r="161">
      <c r="A161" t="inlineStr">
        <is>
          <t>151.09.0002</t>
        </is>
      </c>
      <c r="B161" t="inlineStr">
        <is>
          <t>Pvc Mdf Düz Pervaz 8*3,5 cm 10 mm 220 Cm</t>
        </is>
      </c>
      <c r="C161" s="188" t="n">
        <v>0</v>
      </c>
    </row>
    <row r="162">
      <c r="A162" t="inlineStr">
        <is>
          <t>151.09.0010</t>
        </is>
      </c>
      <c r="B162" t="inlineStr">
        <is>
          <t>Pvc Mdf Düz Pervaz 8*3,5 cm 8 mm 220 Cm</t>
        </is>
      </c>
      <c r="C162" s="188" t="n">
        <v>0</v>
      </c>
    </row>
    <row r="163">
      <c r="A163" t="inlineStr">
        <is>
          <t>151.09.0012</t>
        </is>
      </c>
      <c r="B163" t="inlineStr">
        <is>
          <t>Pvc Mdf Düz Pervaz 9*3,5 cm 10 mm 220 Cm</t>
        </is>
      </c>
      <c r="C163" s="188" t="n">
        <v>0</v>
      </c>
    </row>
    <row r="164">
      <c r="A164" t="inlineStr">
        <is>
          <t>151.09.0017</t>
        </is>
      </c>
      <c r="B164" t="inlineStr">
        <is>
          <t>Pvc Düz Pervaz 9*3,5 cm 18mm 220 cm</t>
        </is>
      </c>
      <c r="C164" s="188" t="n">
        <v>0</v>
      </c>
    </row>
    <row r="165">
      <c r="A165" t="inlineStr">
        <is>
          <t>151.09.0021</t>
        </is>
      </c>
      <c r="B165" t="inlineStr">
        <is>
          <t xml:space="preserve">Pvc Mdf Düz Pervaz 10*3,5 cm 10 mm 210 Cm </t>
        </is>
      </c>
      <c r="C165" s="188" t="n">
        <v>0</v>
      </c>
    </row>
    <row r="166">
      <c r="A166" t="inlineStr">
        <is>
          <t>151.09.0024</t>
        </is>
      </c>
      <c r="B166" t="inlineStr">
        <is>
          <t>Pvc Mdf Düz Pervaz 9*3,5 cm 8 mm 210 Cm</t>
        </is>
      </c>
      <c r="C166" s="188" t="n">
        <v>0</v>
      </c>
    </row>
    <row r="167">
      <c r="A167" t="inlineStr">
        <is>
          <t>151.09.0040</t>
        </is>
      </c>
      <c r="B167" t="inlineStr">
        <is>
          <t xml:space="preserve">Pvc Mdf Düz Pervaz 16*3,5 cm 8 mm 210 Cm </t>
        </is>
      </c>
      <c r="C167" s="188" t="n">
        <v>0</v>
      </c>
    </row>
    <row r="168">
      <c r="A168" t="inlineStr">
        <is>
          <t>151.09.0094</t>
        </is>
      </c>
      <c r="B168" t="inlineStr">
        <is>
          <t xml:space="preserve"> Pvc Mdf Düz Pervaz 9*5 cm 10 mm 220 Cm</t>
        </is>
      </c>
      <c r="C168" s="188" t="n">
        <v>0</v>
      </c>
    </row>
    <row r="169">
      <c r="A169" t="inlineStr">
        <is>
          <t>151.09.0102</t>
        </is>
      </c>
      <c r="B169" t="inlineStr">
        <is>
          <t>Pvc Düz Pervaz 10*3,5 cm 8mm 220 cm</t>
        </is>
      </c>
      <c r="C169" s="188" t="n">
        <v>0</v>
      </c>
    </row>
    <row r="170">
      <c r="A170" t="inlineStr">
        <is>
          <t>151.09.0104</t>
        </is>
      </c>
      <c r="B170" t="inlineStr">
        <is>
          <t xml:space="preserve">Pvc Mdf Düz Pervaz 9*4,5 cm 10 mm 220 Cm </t>
        </is>
      </c>
      <c r="C170" s="188" t="n">
        <v>0</v>
      </c>
    </row>
    <row r="171">
      <c r="A171" t="inlineStr">
        <is>
          <t>151.09.0334</t>
        </is>
      </c>
      <c r="B171" t="inlineStr">
        <is>
          <t xml:space="preserve">Pvc Motifli Pervaz-2- 3,5 220 Cm </t>
        </is>
      </c>
      <c r="C171" s="188" t="n">
        <v>0</v>
      </c>
    </row>
    <row r="172">
      <c r="A172" t="inlineStr">
        <is>
          <t>151.09.0342</t>
        </is>
      </c>
      <c r="B172" t="inlineStr">
        <is>
          <t>Pvc Mdf Düz Pervaz 10*3,5 cm 18 mm 220 Cm</t>
        </is>
      </c>
      <c r="C172" s="188" t="n">
        <v>0</v>
      </c>
    </row>
    <row r="173">
      <c r="A173" t="inlineStr">
        <is>
          <t>151.09.0382</t>
        </is>
      </c>
      <c r="B173" t="inlineStr">
        <is>
          <t>Pvc  Mdf Süpürgelik 9 cm 10 mm 280 mm</t>
        </is>
      </c>
      <c r="C173" s="188" t="n">
        <v>0</v>
      </c>
    </row>
    <row r="174">
      <c r="A174" t="inlineStr">
        <is>
          <t>151.09.0402</t>
        </is>
      </c>
      <c r="B174" t="inlineStr">
        <is>
          <t>PVC.Kap.Düz.Plastik Pervaz 9*4,50 Cm  220 Cm</t>
        </is>
      </c>
      <c r="C174" s="188" t="n">
        <v>0</v>
      </c>
    </row>
    <row r="175">
      <c r="A175" t="inlineStr">
        <is>
          <t>151.09.0408</t>
        </is>
      </c>
      <c r="B175" t="inlineStr">
        <is>
          <t>Pvc Kap.Plastik Düz Pervaz 9*7,5 cm 220 cm</t>
        </is>
      </c>
      <c r="C175" s="188" t="n">
        <v>0</v>
      </c>
    </row>
    <row r="176">
      <c r="A176" t="inlineStr">
        <is>
          <t>151.11.0002</t>
        </is>
      </c>
      <c r="B176" t="inlineStr">
        <is>
          <t>Pvc Mdf Cam Çıtası 22 mm 2,2*280 cm</t>
        </is>
      </c>
      <c r="C176" s="188" t="n">
        <v>0</v>
      </c>
    </row>
    <row r="177">
      <c r="A177" t="inlineStr">
        <is>
          <t>151.11.0004</t>
        </is>
      </c>
      <c r="B177" t="inlineStr">
        <is>
          <t>Ham Mdf Cam Çıtası 22 mm 2,2*280 cm</t>
        </is>
      </c>
      <c r="C177" s="188" t="n">
        <v>0</v>
      </c>
    </row>
    <row r="178">
      <c r="A178" t="inlineStr">
        <is>
          <t>151.11.0006</t>
        </is>
      </c>
      <c r="B178" t="inlineStr">
        <is>
          <t>Ham Mdf Dekoratif Damaksız (Özel-2) 10 mm 5*280 cm</t>
        </is>
      </c>
      <c r="C178" s="188" t="n">
        <v>0</v>
      </c>
    </row>
    <row r="179">
      <c r="A179" t="inlineStr">
        <is>
          <t>151.11.0011</t>
        </is>
      </c>
      <c r="B179" t="inlineStr">
        <is>
          <t>Pvc Mdf Karolaj Çıtası 10 mm 3*280 cm</t>
        </is>
      </c>
      <c r="C179" s="188" t="n">
        <v>0</v>
      </c>
    </row>
    <row r="180">
      <c r="A180" t="inlineStr">
        <is>
          <t>152.44.0001</t>
        </is>
      </c>
      <c r="B180" t="inlineStr">
        <is>
          <t xml:space="preserve">Mutfak-Mdflam Gövde Beyaz-Kapak Mdflam Beyaz Metre </t>
        </is>
      </c>
      <c r="C180" s="188" t="n">
        <v>2700</v>
      </c>
    </row>
    <row r="181">
      <c r="A181" t="inlineStr">
        <is>
          <t>152.44.0002</t>
        </is>
      </c>
      <c r="B181" t="inlineStr">
        <is>
          <t xml:space="preserve">Mutfak-Mdflam Gövde Beyaz-Kapak Mdflam Renkli Metre </t>
        </is>
      </c>
      <c r="C181" s="188" t="n">
        <v>2700</v>
      </c>
    </row>
    <row r="182">
      <c r="A182" t="inlineStr">
        <is>
          <t>152.44.0003</t>
        </is>
      </c>
      <c r="B182" t="inlineStr">
        <is>
          <t xml:space="preserve">Mutfak-Mdflam Gövde Beyaz-Kapak Hıghgloss Beyaz Metre </t>
        </is>
      </c>
      <c r="C182" s="188" t="n">
        <v>2700</v>
      </c>
    </row>
    <row r="183">
      <c r="A183" t="inlineStr">
        <is>
          <t>152.44.0004</t>
        </is>
      </c>
      <c r="B183" t="inlineStr">
        <is>
          <t xml:space="preserve">Mutfak-Mdflam Gövde Beyaz-Kapak Hıghgloss Renkli Metre </t>
        </is>
      </c>
      <c r="C183" s="188" t="n">
        <v>2700</v>
      </c>
    </row>
    <row r="184">
      <c r="A184" t="inlineStr">
        <is>
          <t>152.44.0008</t>
        </is>
      </c>
      <c r="B184" t="inlineStr">
        <is>
          <t xml:space="preserve">Mutfak-Mdflam Gövde Beyaz-Kapak Acrilik Beyaz Metre </t>
        </is>
      </c>
      <c r="C184" s="188" t="n">
        <v>2700</v>
      </c>
    </row>
    <row r="185">
      <c r="A185" t="inlineStr">
        <is>
          <t>152.44.0009</t>
        </is>
      </c>
      <c r="B185" t="inlineStr">
        <is>
          <t xml:space="preserve">Mutfak-Mdflam Gövde Beyaz-Kapak u Acrilik Renkli Metre </t>
        </is>
      </c>
      <c r="C185" s="188" t="n">
        <v>2700</v>
      </c>
    </row>
    <row r="186">
      <c r="A186" t="inlineStr">
        <is>
          <t>152.44.0005</t>
        </is>
      </c>
      <c r="B186" t="inlineStr">
        <is>
          <t xml:space="preserve">Mutfak-Mdflam Gövde Beyaz-Kapak Membran Motifsiz Metre </t>
        </is>
      </c>
      <c r="C186" s="188" t="n">
        <v>2700</v>
      </c>
    </row>
    <row r="187">
      <c r="A187" t="inlineStr">
        <is>
          <t>152.44.0006</t>
        </is>
      </c>
      <c r="B187" t="inlineStr">
        <is>
          <t>Mutfak-Mdflam Gövde Beyaz-Kapak Membran Motifli Metre</t>
        </is>
      </c>
      <c r="C187" s="188" t="n">
        <v>2700</v>
      </c>
    </row>
    <row r="188">
      <c r="A188" t="inlineStr">
        <is>
          <t>152.44.0012</t>
        </is>
      </c>
      <c r="B188" t="inlineStr">
        <is>
          <t>Mutfak-Mdflam Gövde Beyaz-Kapak Lake Motifsiz Metre</t>
        </is>
      </c>
      <c r="C188" s="188" t="n">
        <v>3450</v>
      </c>
    </row>
    <row r="189">
      <c r="A189" t="inlineStr">
        <is>
          <t>152.44.0013</t>
        </is>
      </c>
      <c r="B189" t="inlineStr">
        <is>
          <t>Mutfak-Mdflam Gövde Beyaz-Kapak Lake Motifli Metre</t>
        </is>
      </c>
      <c r="C189" s="188" t="n">
        <v>3450</v>
      </c>
    </row>
  </sheetData>
  <pageMargins left="0.7" right="0.7" top="0.75" bottom="0.75" header="0.3" footer="0.3"/>
  <pageSetup orientation="portrait" paperSize="9"/>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2015-06-05T18:19:34Z</dcterms:created>
  <dcterms:modified xmlns:dcterms="http://purl.org/dc/terms/" xmlns:xsi="http://www.w3.org/2001/XMLSchema-instance" xsi:type="dcterms:W3CDTF">2026-04-12T23:59:19Z</dcterms:modified>
</cp:coreProperties>
</file>