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MutfakGrubu" sheetId="83" r:id="rId2"/>
    <sheet name="PortmantoGrubu" sheetId="84" r:id="rId3"/>
    <sheet name="BanyoGrubu" sheetId="85" r:id="rId4"/>
  </sheets>
  <definedNames>
    <definedName name="_xlnm.Print_Area" localSheetId="0">'1'!$A$1:$M$147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53" l="1"/>
  <c r="H60" i="53" l="1"/>
  <c r="H61" i="53"/>
  <c r="H59" i="53"/>
  <c r="D60" i="53"/>
  <c r="D61" i="53"/>
  <c r="D59" i="53"/>
  <c r="G74" i="53"/>
  <c r="M73" i="53"/>
  <c r="L73" i="53"/>
  <c r="M72" i="53"/>
  <c r="L72" i="53"/>
  <c r="M71" i="53"/>
  <c r="L71" i="53"/>
  <c r="G62" i="53"/>
  <c r="M61" i="53"/>
  <c r="L61" i="53"/>
  <c r="M60" i="53"/>
  <c r="L60" i="53"/>
  <c r="M59" i="53"/>
  <c r="L59" i="53"/>
  <c r="G41" i="53"/>
  <c r="D40" i="53"/>
  <c r="H40" i="53"/>
  <c r="L40" i="53"/>
  <c r="M40" i="53"/>
  <c r="M74" i="53" l="1"/>
  <c r="M75" i="53" s="1"/>
  <c r="M76" i="53" s="1"/>
  <c r="M62" i="53"/>
  <c r="M63" i="53" s="1"/>
  <c r="M64" i="53" s="1"/>
  <c r="L84" i="53" s="1"/>
  <c r="L85" i="53" l="1"/>
  <c r="J107" i="53" l="1"/>
  <c r="H39" i="53"/>
  <c r="D39" i="53"/>
  <c r="H38" i="53"/>
  <c r="D38" i="53"/>
  <c r="L39" i="53"/>
  <c r="L38" i="53"/>
  <c r="M14" i="53" l="1"/>
  <c r="M39" i="53" l="1"/>
  <c r="M38" i="53"/>
  <c r="M41" i="53" l="1"/>
  <c r="M42" i="53" l="1"/>
  <c r="M43" i="53" s="1"/>
  <c r="L83" i="53" l="1"/>
  <c r="L86" i="53"/>
</calcChain>
</file>

<file path=xl/sharedStrings.xml><?xml version="1.0" encoding="utf-8"?>
<sst xmlns="http://schemas.openxmlformats.org/spreadsheetml/2006/main" count="222" uniqueCount="166">
  <si>
    <t>Kod</t>
  </si>
  <si>
    <t xml:space="preserve">Satış Birimi </t>
  </si>
  <si>
    <t>Miktar</t>
  </si>
  <si>
    <t>Birim</t>
  </si>
  <si>
    <t xml:space="preserve">Tutar </t>
  </si>
  <si>
    <t>Adet</t>
  </si>
  <si>
    <t>Tutar Toplam</t>
  </si>
  <si>
    <t xml:space="preserve">Yekün </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</si>
  <si>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</si>
  <si>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</si>
  <si>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</si>
  <si>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</si>
  <si>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</si>
  <si>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</si>
  <si>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</si>
  <si>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</si>
  <si>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</si>
  <si>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</si>
  <si>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</si>
  <si>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</si>
  <si>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</si>
  <si>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</si>
  <si>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</si>
  <si>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</si>
  <si>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</si>
  <si>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</si>
  <si>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</si>
  <si>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</si>
  <si>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</si>
  <si>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</si>
  <si>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</si>
  <si>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</si>
  <si>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</si>
  <si>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</si>
  <si>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</si>
  <si>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</si>
  <si>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</si>
  <si>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</si>
  <si>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</si>
  <si>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</si>
  <si>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</si>
  <si>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</si>
  <si>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 xml:space="preserve">Liste Fiyatı </t>
  </si>
  <si>
    <t xml:space="preserve">Birim Net Fiyatı </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</si>
  <si>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</si>
  <si>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</si>
  <si>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xml:space="preserve">kod </t>
  </si>
  <si>
    <t>ürün adı</t>
  </si>
  <si>
    <t xml:space="preserve">birim fiyatı </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</si>
  <si>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</si>
  <si>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</si>
  <si>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</si>
  <si>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</si>
  <si>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</si>
  <si>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</si>
  <si>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</si>
  <si>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</si>
  <si>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</si>
  <si>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</si>
  <si>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</si>
  <si>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</si>
  <si>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</si>
  <si>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</si>
  <si>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</si>
  <si>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3-</t>
  </si>
  <si>
    <t>4-</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</si>
  <si>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</si>
  <si>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</si>
  <si>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</si>
  <si>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</si>
  <si>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</si>
  <si>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</si>
  <si>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</si>
  <si>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</si>
  <si>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MUTFAK DOLABI </t>
  </si>
  <si>
    <t xml:space="preserve">Metre </t>
  </si>
  <si>
    <t>K.D.V. %10</t>
  </si>
  <si>
    <t>PORTMANTO &amp; GİYİNME DOLAPLARI</t>
  </si>
  <si>
    <t>BANYO DOLAPLARI &amp; AKSESUARLAR</t>
  </si>
  <si>
    <t xml:space="preserve">Gövde </t>
  </si>
  <si>
    <t>Kapak Renk</t>
  </si>
  <si>
    <t>Mutfak Dolabı Teknik Özellikler Temsilci Tarafından doldurulur.</t>
  </si>
  <si>
    <t xml:space="preserve">* Gövde Mdflam 18 mm Çamsan </t>
  </si>
  <si>
    <t>* Minifix &amp; Kavela Sistem</t>
  </si>
  <si>
    <t>* Dolap Tasarımı karşılıklı Mutabakat ile yapılacaktır</t>
  </si>
  <si>
    <t xml:space="preserve">* Kapaklar ****** Kapak </t>
  </si>
  <si>
    <t xml:space="preserve">*Kulp Modelleri Standarta göre verilmiştir. </t>
  </si>
  <si>
    <t>* Menteşeler Samet Düz*Deve*Frenlidir</t>
  </si>
  <si>
    <t xml:space="preserve">* Çekmece Rayları Samet Slide Ahşap Yanaklıdır. </t>
  </si>
  <si>
    <t>Portmanto Dolabı Teknik Özellikler Temsilci Tarafından doldurulur.</t>
  </si>
  <si>
    <t xml:space="preserve">* Elbise Dolabında Boru Askı </t>
  </si>
  <si>
    <t>* Kapaklar AGT kartelasından seçilecek</t>
  </si>
  <si>
    <t xml:space="preserve">* Portmanto Dolabında Kanca Askı </t>
  </si>
  <si>
    <t xml:space="preserve">* Çekmece Rayları Samet Slide Mandallı </t>
  </si>
  <si>
    <t>* Muhtelif Dolaplar Minifix &amp; Kavela Sistem</t>
  </si>
  <si>
    <t>Banyo Dolabı Teknik Özellikler Temsilci Tarafından doldurulur.</t>
  </si>
  <si>
    <t>* Ayna Dahildir.</t>
  </si>
  <si>
    <t>* Kapaklar AGT &amp; Çamsan kartelasından seçilecek</t>
  </si>
  <si>
    <t>*Lavabo Taşı Hariçtir.</t>
  </si>
  <si>
    <t xml:space="preserve">* Çekmece Rayları Samet Slide </t>
  </si>
  <si>
    <t>m²</t>
  </si>
  <si>
    <t xml:space="preserve">MUTFAK GRUBU </t>
  </si>
  <si>
    <t>PORTMANTO GRUBU</t>
  </si>
  <si>
    <t>BANYO DOLAPLARI</t>
  </si>
  <si>
    <t>YEKÜN</t>
  </si>
  <si>
    <t>*Montaj Hariçtir.</t>
  </si>
  <si>
    <t>152.44.0001</t>
  </si>
  <si>
    <t xml:space="preserve">Mdflam Gövde Beyaz-Kapak Mdflam Beyaz Metre </t>
  </si>
  <si>
    <t>152.44.0002</t>
  </si>
  <si>
    <t xml:space="preserve">Mdflam Gövde Beyaz-Kapak Mdflam Renkli Metre </t>
  </si>
  <si>
    <t>152.44.0003</t>
  </si>
  <si>
    <t xml:space="preserve">Mdflam Gövde Beyaz-Kapak Hıghgloss Beyaz Metre </t>
  </si>
  <si>
    <t>152.44.0004</t>
  </si>
  <si>
    <t xml:space="preserve">Mdflam Gövde Beyaz-Kapak Hıghgloss Renkli Metre </t>
  </si>
  <si>
    <t>152.44.0008</t>
  </si>
  <si>
    <t xml:space="preserve">Mdflam Gövde Beyaz-Kapak Acrilik Beyaz Metre </t>
  </si>
  <si>
    <t>152.44.0009</t>
  </si>
  <si>
    <t xml:space="preserve">Mdflam Gövde Beyaz-Kapak u Acrilik Renkli Metre </t>
  </si>
  <si>
    <t>152.44.0005</t>
  </si>
  <si>
    <t xml:space="preserve">Mdflam Gövde Beyaz-Kapak Membran Motifsiz Metre </t>
  </si>
  <si>
    <t>152.44.0006</t>
  </si>
  <si>
    <t>Mdflam Gövde Beyaz-Kapak Membran Motifli Metre</t>
  </si>
  <si>
    <t>152.44.0012</t>
  </si>
  <si>
    <t>Mdflam Gövde Beyaz-Kapak Lake Motifsiz Metre</t>
  </si>
  <si>
    <t>152.44.0013</t>
  </si>
  <si>
    <t>Mdflam Gövde Beyaz-Kapak Lake Motifli Metre</t>
  </si>
  <si>
    <t>152.44.0100</t>
  </si>
  <si>
    <t xml:space="preserve">Mdflam Gövde Beyaz-Kapak Mdflam Beyaz m² </t>
  </si>
  <si>
    <t>152.44.0101</t>
  </si>
  <si>
    <t xml:space="preserve">Mdflam Gövde Beyaz-Kapak Mdflam Renkli m² </t>
  </si>
  <si>
    <t>152.44.0102</t>
  </si>
  <si>
    <t>Mdflam Gövde Beyaz-Kapak Hıghgloss Beyaz m²</t>
  </si>
  <si>
    <t>152.44.0103</t>
  </si>
  <si>
    <t>Mdflam Gövde Beyaz-Kapak Hıghgloss Renkli m²</t>
  </si>
  <si>
    <t>152.44.0107</t>
  </si>
  <si>
    <t>Mdflam Gövde Beyaz-Kapak Acrilik Beyaz m²</t>
  </si>
  <si>
    <t>Mdflam Gövde Beyaz-Kapak u Acrilik Renkli m²</t>
  </si>
  <si>
    <t>152.44.0104</t>
  </si>
  <si>
    <t>Mdflam Gövde Beyaz-Kapak Membran Motifsiz m²</t>
  </si>
  <si>
    <t>152.44.0105</t>
  </si>
  <si>
    <t>Mdflam Gövde Beyaz-Kapak Membran Motifli m²</t>
  </si>
  <si>
    <t>152.44.0111</t>
  </si>
  <si>
    <t>Mdflam Gövde Beyaz-Kapak Lake Motifsiz m²</t>
  </si>
  <si>
    <t>152.44.0112</t>
  </si>
  <si>
    <t>Mdflam Gövde Beyaz-Kapak Lake Motifli m²</t>
  </si>
  <si>
    <t>152.44.0200</t>
  </si>
  <si>
    <t>152.44.0201</t>
  </si>
  <si>
    <t>152.44.0202</t>
  </si>
  <si>
    <t>152.44.0203</t>
  </si>
  <si>
    <t>152.44.0204</t>
  </si>
  <si>
    <t>152.44.0205</t>
  </si>
  <si>
    <t>152.44.0206</t>
  </si>
  <si>
    <t>152.44.0207</t>
  </si>
  <si>
    <t>152.44.0208</t>
  </si>
  <si>
    <t>152.44.0209</t>
  </si>
  <si>
    <t>kod</t>
  </si>
  <si>
    <t xml:space="preserve">ürün adı </t>
  </si>
  <si>
    <t xml:space="preserve">TEKLİF </t>
  </si>
  <si>
    <t xml:space="preserve">TEKLİF NUMARASI </t>
  </si>
  <si>
    <t>1-Belirtilen fiyatlara KDV  hariçtir.</t>
  </si>
  <si>
    <t xml:space="preserve">TEKLİF NOTLARI </t>
  </si>
  <si>
    <t>2-İşbu teklif, düzenleme tarihinden itibaren ___ gün geçerlidir.</t>
  </si>
  <si>
    <t>3-Ürün ölçü ve model onayı müşteri tarafından teyit edilmeden üretime başlanmaz.</t>
  </si>
  <si>
    <t>4-Ödeme şartları teklif üzerinde belirtilen şekilde uygulanacaktır.</t>
  </si>
  <si>
    <t>5-Montaj ve teslim süreleri (varsa) sipariş onayı ve ödeme planına göre planlanacaktır.</t>
  </si>
  <si>
    <t>GENEL ŞARTLAR &amp; TEKLİF NOTLARI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</si>
</sst>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7"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sz val="18"/>
      <color rgb="FF000066"/>
      <name val="Times New Roman"/>
      <family val="1"/>
      <charset val="162"/>
    </font>
    <font>
      <sz val="12"/>
      <color theme="1"/>
      <name val="Calibri"/>
      <family val="2"/>
      <scheme val="minor"/>
    </font>
    <font>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1">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s>
  <cellStyleXfs count="2">
    <xf numFmtId="0" fontId="0" fillId="0" borderId="0"/>
    <xf numFmtId="44" fontId="1" fillId="0" borderId="0" applyFont="0" applyFill="0" applyBorder="0" applyAlignment="0" applyProtection="0"/>
  </cellStyleXfs>
  <cellXfs count="140">
    <xf numFmtId="0" fontId="0" fillId="0" borderId="0" xfId="0"/>
    <xf numFmtId="0" fontId="0" fillId="0" borderId="0" xfId="0" applyProtection="1">
      <protection locked="0"/>
    </xf>
    <xf numFmtId="0" fontId="20" fillId="0" borderId="0" xfId="0" applyFont="1" applyAlignment="1" applyProtection="1">
      <alignment vertical="center" wrapText="1"/>
      <protection locked="0"/>
    </xf>
    <xf numFmtId="0" fontId="18" fillId="0" borderId="24" xfId="0" applyFont="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25" xfId="0" applyFont="1" applyBorder="1" applyAlignment="1" applyProtection="1">
      <alignment vertical="center"/>
      <protection locked="0"/>
    </xf>
    <xf numFmtId="0" fontId="18" fillId="0" borderId="16" xfId="0" applyFont="1" applyBorder="1" applyAlignment="1" applyProtection="1">
      <alignment vertical="center"/>
      <protection locked="0"/>
    </xf>
    <xf numFmtId="0" fontId="18"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0" fontId="10" fillId="0" borderId="4" xfId="0" applyFont="1" applyBorder="1" applyProtection="1"/>
    <xf numFmtId="0" fontId="10" fillId="0" borderId="5" xfId="0" applyFont="1" applyBorder="1" applyProtection="1"/>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8" fillId="0" borderId="16"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2" fillId="0" borderId="28" xfId="0" applyFont="1" applyBorder="1" applyAlignment="1" applyProtection="1">
      <alignment horizontal="center" vertical="center"/>
    </xf>
    <xf numFmtId="0" fontId="22" fillId="0" borderId="26" xfId="0" applyFont="1" applyBorder="1" applyAlignment="1" applyProtection="1">
      <alignment horizontal="center" vertical="center"/>
    </xf>
    <xf numFmtId="0" fontId="22" fillId="0" borderId="27" xfId="0" applyFont="1" applyBorder="1" applyAlignment="1" applyProtection="1">
      <alignment horizontal="center" vertical="center"/>
    </xf>
    <xf numFmtId="0" fontId="23" fillId="0" borderId="1" xfId="0" applyFont="1" applyBorder="1" applyProtection="1">
      <protection locked="0"/>
    </xf>
    <xf numFmtId="0" fontId="23" fillId="0" borderId="11" xfId="0" applyFont="1" applyBorder="1" applyProtection="1">
      <protection locked="0"/>
    </xf>
    <xf numFmtId="44" fontId="13" fillId="0" borderId="29"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5" fillId="0" borderId="0"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4" xfId="0" applyFont="1" applyBorder="1" applyAlignment="1" applyProtection="1">
      <alignment horizontal="center" vertical="center"/>
    </xf>
    <xf numFmtId="0" fontId="20" fillId="0" borderId="0" xfId="0" applyFont="1" applyAlignment="1" applyProtection="1">
      <alignment horizontal="center" vertical="center" wrapText="1"/>
      <protection locked="0"/>
    </xf>
    <xf numFmtId="0" fontId="21" fillId="0" borderId="0" xfId="0" applyFont="1" applyProtection="1">
      <protection locked="0"/>
    </xf>
    <xf numFmtId="0" fontId="6" fillId="0" borderId="0" xfId="0" applyFont="1" applyProtection="1">
      <protection locked="0"/>
    </xf>
    <xf numFmtId="0" fontId="16" fillId="0" borderId="0" xfId="0" applyFont="1" applyProtection="1">
      <protection locked="0"/>
    </xf>
    <xf numFmtId="0" fontId="25" fillId="0" borderId="0" xfId="0" applyFont="1" applyProtection="1">
      <protection locked="0"/>
    </xf>
    <xf numFmtId="0" fontId="18" fillId="0" borderId="15" xfId="0" applyFont="1" applyBorder="1" applyAlignment="1" applyProtection="1">
      <alignment vertical="center"/>
      <protection locked="0"/>
    </xf>
    <xf numFmtId="0" fontId="12" fillId="0" borderId="7" xfId="0" applyFont="1" applyBorder="1" applyAlignment="1" applyProtection="1">
      <alignment horizontal="left" vertical="center"/>
      <protection locked="0"/>
    </xf>
    <xf numFmtId="44" fontId="12" fillId="0" borderId="7" xfId="1" applyFont="1" applyBorder="1" applyAlignment="1" applyProtection="1">
      <alignment horizontal="center" vertical="center"/>
      <protection locked="0"/>
    </xf>
    <xf numFmtId="0" fontId="10" fillId="0" borderId="7" xfId="0" applyFont="1" applyBorder="1" applyAlignment="1" applyProtection="1">
      <alignment horizontal="center" vertical="center"/>
      <protection locked="0"/>
    </xf>
    <xf numFmtId="44" fontId="0" fillId="0" borderId="0" xfId="1" applyFont="1"/>
    <xf numFmtId="44" fontId="13" fillId="0" borderId="26" xfId="0" applyNumberFormat="1" applyFont="1" applyBorder="1" applyAlignment="1" applyProtection="1">
      <alignment horizontal="right"/>
    </xf>
    <xf numFmtId="44" fontId="13" fillId="0" borderId="30" xfId="0" applyNumberFormat="1" applyFont="1" applyBorder="1" applyAlignment="1" applyProtection="1">
      <alignment horizontal="right"/>
    </xf>
    <xf numFmtId="44" fontId="13" fillId="0" borderId="10" xfId="0" applyNumberFormat="1" applyFont="1" applyBorder="1" applyAlignment="1" applyProtection="1">
      <alignment horizontal="right"/>
    </xf>
    <xf numFmtId="0" fontId="26" fillId="0" borderId="0" xfId="0" applyFont="1" applyAlignment="1" applyProtection="1"/>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0"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8" fillId="0" borderId="3" xfId="0" applyFont="1" applyBorder="1" applyAlignment="1" applyProtection="1">
      <alignment horizontal="left"/>
      <protection locked="0"/>
    </xf>
    <xf numFmtId="0" fontId="18" fillId="0" borderId="2" xfId="0" applyFont="1" applyBorder="1" applyAlignment="1" applyProtection="1">
      <alignment horizontal="left"/>
      <protection locked="0"/>
    </xf>
    <xf numFmtId="0" fontId="18" fillId="0" borderId="13" xfId="0" applyFont="1" applyBorder="1" applyAlignment="1" applyProtection="1">
      <alignment horizontal="left"/>
      <protection locked="0"/>
    </xf>
    <xf numFmtId="0" fontId="18" fillId="0" borderId="4" xfId="0" applyFont="1" applyBorder="1" applyAlignment="1" applyProtection="1">
      <alignment horizontal="left"/>
      <protection locked="0"/>
    </xf>
    <xf numFmtId="0" fontId="18" fillId="0" borderId="0" xfId="0" applyFont="1" applyBorder="1" applyAlignment="1" applyProtection="1">
      <alignment horizontal="left"/>
      <protection locked="0"/>
    </xf>
    <xf numFmtId="0" fontId="18" fillId="0" borderId="1"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18" fillId="0" borderId="21" xfId="0" applyFont="1" applyBorder="1" applyAlignment="1" applyProtection="1">
      <alignment horizontal="center" vertical="center"/>
    </xf>
    <xf numFmtId="0" fontId="18" fillId="0" borderId="22" xfId="0" applyFont="1" applyBorder="1" applyAlignment="1" applyProtection="1">
      <alignment horizontal="center" vertical="center"/>
    </xf>
    <xf numFmtId="0" fontId="18" fillId="0" borderId="23" xfId="0" applyFont="1" applyBorder="1" applyAlignment="1" applyProtection="1">
      <alignment horizontal="center" vertical="center"/>
    </xf>
    <xf numFmtId="0" fontId="18" fillId="0" borderId="12" xfId="0" applyFont="1" applyBorder="1" applyAlignment="1" applyProtection="1">
      <alignment horizontal="left" vertical="center"/>
      <protection locked="0"/>
    </xf>
    <xf numFmtId="0" fontId="18" fillId="0" borderId="18" xfId="0" applyFont="1" applyBorder="1" applyAlignment="1" applyProtection="1">
      <alignment horizontal="left" vertical="center"/>
      <protection locked="0"/>
    </xf>
    <xf numFmtId="0" fontId="18" fillId="0" borderId="19" xfId="0" applyFont="1" applyBorder="1" applyAlignment="1" applyProtection="1">
      <alignment horizontal="left" vertical="center"/>
      <protection locked="0"/>
    </xf>
    <xf numFmtId="0" fontId="18"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8" fillId="0" borderId="5" xfId="0" applyFont="1" applyBorder="1" applyAlignment="1" applyProtection="1">
      <alignment horizontal="left"/>
      <protection locked="0"/>
    </xf>
    <xf numFmtId="0" fontId="18" fillId="0" borderId="6" xfId="0" applyFont="1" applyBorder="1" applyAlignment="1" applyProtection="1">
      <alignment horizontal="left"/>
      <protection locked="0"/>
    </xf>
    <xf numFmtId="0" fontId="18" fillId="0" borderId="11" xfId="0" applyFont="1" applyBorder="1" applyAlignment="1" applyProtection="1">
      <alignment horizontal="left"/>
      <protection locked="0"/>
    </xf>
    <xf numFmtId="0" fontId="5" fillId="0" borderId="14" xfId="0" applyFont="1" applyBorder="1" applyAlignment="1" applyProtection="1">
      <alignment horizontal="center" vertical="center"/>
      <protection locked="0"/>
    </xf>
    <xf numFmtId="0" fontId="17" fillId="0" borderId="8" xfId="0" applyFont="1" applyBorder="1" applyAlignment="1" applyProtection="1">
      <alignment horizontal="center" vertical="center"/>
    </xf>
    <xf numFmtId="0" fontId="17" fillId="0" borderId="14" xfId="0" applyFont="1" applyBorder="1" applyAlignment="1" applyProtection="1">
      <alignment horizontal="center" vertical="center"/>
    </xf>
    <xf numFmtId="0" fontId="17" fillId="0" borderId="9" xfId="0" applyFont="1" applyBorder="1" applyAlignment="1" applyProtection="1">
      <alignment horizontal="center" vertical="center"/>
    </xf>
    <xf numFmtId="0" fontId="17" fillId="0" borderId="3" xfId="0" applyFont="1" applyBorder="1" applyAlignment="1" applyProtection="1">
      <alignment horizontal="center" vertical="center"/>
    </xf>
    <xf numFmtId="0" fontId="17" fillId="0" borderId="13" xfId="0" applyFont="1" applyBorder="1" applyAlignment="1" applyProtection="1">
      <alignment horizontal="center" vertical="center"/>
    </xf>
    <xf numFmtId="0" fontId="0" fillId="0" borderId="0" xfId="0" applyAlignment="1" applyProtection="1">
      <alignment horizontal="center"/>
    </xf>
    <xf numFmtId="0" fontId="24" fillId="0" borderId="0" xfId="0" applyFont="1" applyAlignment="1" applyProtection="1">
      <alignment horizontal="left"/>
    </xf>
    <xf numFmtId="0" fontId="22" fillId="0" borderId="0" xfId="0" applyFont="1" applyAlignment="1" applyProtection="1">
      <alignment horizontal="left"/>
      <protection locked="0"/>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13" fillId="0" borderId="18" xfId="0" applyFont="1" applyBorder="1" applyAlignment="1" applyProtection="1">
      <alignment horizontal="center"/>
    </xf>
    <xf numFmtId="0" fontId="13" fillId="0" borderId="20" xfId="0" applyFont="1" applyBorder="1" applyAlignment="1" applyProtection="1">
      <alignment horizontal="center"/>
    </xf>
    <xf numFmtId="0" fontId="10" fillId="0" borderId="0" xfId="0" applyFont="1" applyAlignment="1" applyProtection="1">
      <alignment horizontal="left"/>
      <protection locked="0"/>
    </xf>
    <xf numFmtId="0" fontId="13" fillId="0" borderId="4" xfId="0" applyFont="1" applyBorder="1" applyAlignment="1" applyProtection="1">
      <alignment horizontal="center"/>
    </xf>
    <xf numFmtId="0" fontId="13" fillId="0" borderId="1" xfId="0" applyFont="1" applyBorder="1" applyAlignment="1" applyProtection="1">
      <alignment horizontal="center"/>
    </xf>
    <xf numFmtId="0" fontId="13" fillId="0" borderId="24" xfId="0" applyFont="1" applyBorder="1" applyAlignment="1" applyProtection="1">
      <alignment horizontal="center"/>
    </xf>
    <xf numFmtId="0" fontId="13" fillId="0" borderId="25" xfId="0" applyFont="1" applyBorder="1" applyAlignment="1" applyProtection="1">
      <alignment horizontal="center"/>
    </xf>
    <xf numFmtId="0" fontId="17" fillId="0" borderId="2" xfId="0" applyFont="1" applyBorder="1" applyAlignment="1" applyProtection="1">
      <alignment horizontal="center" vertical="center"/>
    </xf>
    <xf numFmtId="0" fontId="21" fillId="0" borderId="0" xfId="0" applyFont="1" applyAlignment="1" applyProtection="1">
      <alignment horizontal="left" vertical="center"/>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1728106</xdr:colOff>
      <xdr:row>137</xdr:row>
      <xdr:rowOff>136070</xdr:rowOff>
    </xdr:from>
    <xdr:to>
      <xdr:col>12</xdr:col>
      <xdr:colOff>312964</xdr:colOff>
      <xdr:row>144</xdr:row>
      <xdr:rowOff>148036</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190749" y="42127713"/>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1850571</xdr:colOff>
      <xdr:row>49</xdr:row>
      <xdr:rowOff>122465</xdr:rowOff>
    </xdr:from>
    <xdr:to>
      <xdr:col>12</xdr:col>
      <xdr:colOff>435429</xdr:colOff>
      <xdr:row>53</xdr:row>
      <xdr:rowOff>107216</xdr:rowOff>
    </xdr:to>
    <xdr:pic>
      <xdr:nvPicPr>
        <xdr:cNvPr id="21" name="Resim 20"/>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313214" y="15022286"/>
          <a:ext cx="16246929" cy="1345466"/>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B1:M118"/>
  <sheetViews>
    <sheetView tabSelected="1" zoomScale="70" zoomScaleNormal="70" zoomScaleSheetLayoutView="70" workbookViewId="0">
      <selection activeCell="D23" sqref="D23:M23"/>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2:13" x14ac:dyDescent="0.25">
      <c r="C1" s="18"/>
      <c r="D1" s="18"/>
      <c r="E1" s="18"/>
      <c r="F1" s="18"/>
      <c r="G1" s="18"/>
      <c r="H1" s="18"/>
      <c r="I1" s="18"/>
      <c r="J1" s="18"/>
      <c r="K1" s="18"/>
      <c r="L1" s="18"/>
      <c r="M1" s="18"/>
    </row>
    <row r="2" spans="2:13" x14ac:dyDescent="0.25">
      <c r="C2" s="18"/>
      <c r="D2" s="18"/>
      <c r="E2" s="18"/>
      <c r="F2" s="18"/>
      <c r="G2" s="18"/>
      <c r="H2" s="18"/>
      <c r="I2" s="18"/>
      <c r="J2" s="18"/>
      <c r="K2" s="18"/>
      <c r="L2" s="18"/>
      <c r="M2" s="18"/>
    </row>
    <row r="3" spans="2:13" x14ac:dyDescent="0.25">
      <c r="C3" s="18"/>
      <c r="D3" s="18"/>
      <c r="E3" s="18"/>
      <c r="F3" s="18"/>
      <c r="G3" s="18"/>
      <c r="H3" s="18"/>
      <c r="I3" s="18"/>
      <c r="J3" s="18"/>
      <c r="K3" s="18"/>
      <c r="L3" s="18"/>
      <c r="M3" s="18"/>
    </row>
    <row r="4" spans="2:13" x14ac:dyDescent="0.25">
      <c r="C4" s="18"/>
      <c r="D4" s="18"/>
      <c r="E4" s="18"/>
      <c r="F4" s="18"/>
      <c r="G4" s="18"/>
      <c r="H4" s="18"/>
      <c r="I4" s="18"/>
      <c r="J4" s="18"/>
      <c r="K4" s="18"/>
      <c r="L4" s="18"/>
      <c r="M4" s="18"/>
    </row>
    <row r="5" spans="2:13" x14ac:dyDescent="0.25">
      <c r="C5" s="18"/>
      <c r="D5" s="18"/>
      <c r="E5" s="18"/>
      <c r="F5" s="18"/>
      <c r="G5" s="18"/>
      <c r="H5" s="18"/>
      <c r="I5" s="18"/>
      <c r="J5" s="18"/>
      <c r="K5" s="18"/>
      <c r="L5" s="18"/>
      <c r="M5" s="18"/>
    </row>
    <row r="6" spans="2:13" x14ac:dyDescent="0.25">
      <c r="C6" s="18"/>
      <c r="D6" s="18"/>
      <c r="E6" s="18"/>
      <c r="F6" s="18"/>
      <c r="G6" s="18"/>
      <c r="H6" s="18"/>
      <c r="I6" s="18"/>
      <c r="J6" s="18"/>
      <c r="K6" s="18"/>
      <c r="L6" s="18"/>
      <c r="M6" s="18"/>
    </row>
    <row r="7" spans="2:13" x14ac:dyDescent="0.25">
      <c r="C7" s="18"/>
      <c r="D7" s="18"/>
      <c r="E7" s="18"/>
      <c r="F7" s="18"/>
      <c r="G7" s="18"/>
      <c r="H7" s="18"/>
      <c r="I7" s="18"/>
      <c r="J7" s="18"/>
      <c r="K7" s="18"/>
      <c r="L7" s="18"/>
      <c r="M7" s="18"/>
    </row>
    <row r="8" spans="2:13" x14ac:dyDescent="0.25">
      <c r="C8" s="18"/>
      <c r="D8" s="18"/>
      <c r="E8" s="18"/>
      <c r="F8" s="18"/>
      <c r="G8" s="18"/>
      <c r="H8" s="18"/>
      <c r="I8" s="18"/>
      <c r="J8" s="18"/>
      <c r="K8" s="18"/>
      <c r="L8" s="18"/>
      <c r="M8" s="18"/>
    </row>
    <row r="9" spans="2:13" x14ac:dyDescent="0.25">
      <c r="C9" s="18"/>
      <c r="D9" s="18"/>
      <c r="E9" s="18"/>
      <c r="F9" s="18"/>
      <c r="G9" s="18"/>
      <c r="H9" s="18"/>
      <c r="I9" s="18"/>
      <c r="J9" s="18"/>
      <c r="K9" s="18"/>
      <c r="L9" s="18"/>
      <c r="M9" s="18"/>
    </row>
    <row r="10" spans="2:13" x14ac:dyDescent="0.25">
      <c r="C10" s="18"/>
      <c r="D10" s="18"/>
      <c r="E10" s="18"/>
      <c r="F10" s="18"/>
      <c r="G10" s="18"/>
      <c r="H10" s="18"/>
      <c r="I10" s="18"/>
      <c r="J10" s="18"/>
      <c r="K10" s="18"/>
      <c r="L10" s="18"/>
      <c r="M10" s="18"/>
    </row>
    <row r="11" spans="2:13" x14ac:dyDescent="0.25">
      <c r="C11" s="18"/>
      <c r="D11" s="18"/>
      <c r="E11" s="18"/>
      <c r="F11" s="18"/>
      <c r="G11" s="18"/>
      <c r="H11" s="18"/>
      <c r="I11" s="18"/>
      <c r="J11" s="18"/>
      <c r="K11" s="18"/>
      <c r="L11" s="18"/>
      <c r="M11" s="18"/>
    </row>
    <row r="12" spans="2:13" ht="28.5" customHeight="1" x14ac:dyDescent="0.25">
      <c r="C12" s="71" t="s">
        <v>157</v>
      </c>
      <c r="D12" s="71"/>
      <c r="E12" s="71"/>
      <c r="F12" s="71"/>
      <c r="G12" s="71"/>
      <c r="H12" s="71"/>
      <c r="I12" s="71"/>
      <c r="J12" s="71"/>
      <c r="K12" s="71"/>
      <c r="L12" s="71"/>
      <c r="M12" s="72"/>
    </row>
    <row r="13" spans="2:13" ht="26.25" customHeight="1" thickBot="1" x14ac:dyDescent="0.3">
      <c r="C13" s="24"/>
      <c r="D13" s="24"/>
      <c r="E13" s="24"/>
      <c r="F13" s="24"/>
      <c r="G13" s="24"/>
      <c r="H13" s="24"/>
      <c r="I13" s="24"/>
      <c r="J13" s="24"/>
      <c r="K13" s="24"/>
      <c r="L13" s="24"/>
      <c r="M13" s="48"/>
    </row>
    <row r="14" spans="2:13" ht="26.25" customHeight="1" thickBot="1" x14ac:dyDescent="0.3">
      <c r="C14" s="24"/>
      <c r="D14" s="24"/>
      <c r="E14" s="24"/>
      <c r="F14" s="24"/>
      <c r="G14" s="24"/>
      <c r="H14" s="24"/>
      <c r="I14" s="24"/>
      <c r="J14" s="24"/>
      <c r="K14" s="24"/>
      <c r="L14" s="19" t="s">
        <v>31</v>
      </c>
      <c r="M14" s="33">
        <f ca="1">TODAY()</f>
        <v>46094</v>
      </c>
    </row>
    <row r="15" spans="2:13" ht="27" customHeight="1" thickBot="1" x14ac:dyDescent="0.3">
      <c r="B15" s="73" t="s">
        <v>30</v>
      </c>
      <c r="C15" s="74" t="s">
        <v>73</v>
      </c>
      <c r="D15" s="75"/>
      <c r="E15" s="75"/>
      <c r="F15" s="75"/>
      <c r="G15" s="75"/>
      <c r="H15" s="75"/>
      <c r="I15" s="75"/>
      <c r="J15" s="75"/>
      <c r="K15" s="75"/>
      <c r="L15" s="75"/>
      <c r="M15" s="76"/>
    </row>
    <row r="16" spans="2:13" ht="27" customHeight="1" x14ac:dyDescent="0.25">
      <c r="B16" s="73"/>
      <c r="C16" s="77" t="s">
        <v>11</v>
      </c>
      <c r="D16" s="78"/>
      <c r="E16" s="106"/>
      <c r="F16" s="88"/>
      <c r="G16" s="88"/>
      <c r="H16" s="88"/>
      <c r="I16" s="88"/>
      <c r="J16" s="89"/>
      <c r="K16" s="77" t="s">
        <v>20</v>
      </c>
      <c r="L16" s="79"/>
      <c r="M16" s="78"/>
    </row>
    <row r="17" spans="2:13" ht="27" customHeight="1" x14ac:dyDescent="0.25">
      <c r="B17" s="73"/>
      <c r="C17" s="80" t="s">
        <v>21</v>
      </c>
      <c r="D17" s="81"/>
      <c r="E17" s="107"/>
      <c r="F17" s="108"/>
      <c r="G17" s="108"/>
      <c r="H17" s="108"/>
      <c r="I17" s="108"/>
      <c r="J17" s="109"/>
      <c r="K17" s="80" t="s">
        <v>21</v>
      </c>
      <c r="L17" s="82"/>
      <c r="M17" s="81"/>
    </row>
    <row r="18" spans="2:13" ht="27" customHeight="1" x14ac:dyDescent="0.25">
      <c r="B18" s="73"/>
      <c r="C18" s="80" t="s">
        <v>22</v>
      </c>
      <c r="D18" s="81"/>
      <c r="E18" s="107"/>
      <c r="F18" s="108"/>
      <c r="G18" s="108"/>
      <c r="H18" s="108"/>
      <c r="I18" s="108"/>
      <c r="J18" s="109"/>
      <c r="K18" s="80" t="s">
        <v>23</v>
      </c>
      <c r="L18" s="82"/>
      <c r="M18" s="81"/>
    </row>
    <row r="19" spans="2:13" ht="27" customHeight="1" thickBot="1" x14ac:dyDescent="0.3">
      <c r="B19" s="73"/>
      <c r="C19" s="83" t="s">
        <v>24</v>
      </c>
      <c r="D19" s="84"/>
      <c r="E19" s="110"/>
      <c r="F19" s="111"/>
      <c r="G19" s="111"/>
      <c r="H19" s="111"/>
      <c r="I19" s="111"/>
      <c r="J19" s="112"/>
      <c r="K19" s="83" t="s">
        <v>24</v>
      </c>
      <c r="L19" s="85"/>
      <c r="M19" s="84"/>
    </row>
    <row r="20" spans="2:13" ht="27" customHeight="1" x14ac:dyDescent="0.25">
      <c r="B20" s="73"/>
      <c r="C20" s="79"/>
      <c r="D20" s="79"/>
      <c r="E20" s="79"/>
      <c r="F20" s="79"/>
      <c r="G20" s="79"/>
      <c r="H20" s="79"/>
      <c r="I20" s="79"/>
      <c r="J20" s="79"/>
      <c r="K20" s="79"/>
      <c r="L20" s="79"/>
      <c r="M20" s="79"/>
    </row>
    <row r="21" spans="2:13" ht="27" customHeight="1" thickBot="1" x14ac:dyDescent="0.3">
      <c r="B21" s="73"/>
      <c r="C21" s="85"/>
      <c r="D21" s="85"/>
      <c r="E21" s="85"/>
      <c r="F21" s="85"/>
      <c r="G21" s="85"/>
      <c r="H21" s="85"/>
      <c r="I21" s="85"/>
      <c r="J21" s="85"/>
      <c r="K21" s="85"/>
      <c r="L21" s="85"/>
      <c r="M21" s="85"/>
    </row>
    <row r="22" spans="2:13" ht="27" customHeight="1" thickBot="1" x14ac:dyDescent="0.3">
      <c r="B22" s="73"/>
      <c r="C22" s="74" t="s">
        <v>33</v>
      </c>
      <c r="D22" s="88"/>
      <c r="E22" s="88"/>
      <c r="F22" s="88"/>
      <c r="G22" s="88"/>
      <c r="H22" s="88"/>
      <c r="I22" s="88"/>
      <c r="J22" s="88"/>
      <c r="K22" s="88"/>
      <c r="L22" s="88"/>
      <c r="M22" s="89"/>
    </row>
    <row r="23" spans="2:13" ht="27" customHeight="1" thickBot="1" x14ac:dyDescent="0.3">
      <c r="B23" s="73"/>
      <c r="C23" s="19" t="s">
        <v>25</v>
      </c>
      <c r="D23" s="90"/>
      <c r="E23" s="91"/>
      <c r="F23" s="91"/>
      <c r="G23" s="91"/>
      <c r="H23" s="91"/>
      <c r="I23" s="91"/>
      <c r="J23" s="91"/>
      <c r="K23" s="91"/>
      <c r="L23" s="91"/>
      <c r="M23" s="92"/>
    </row>
    <row r="24" spans="2:13" ht="27" customHeight="1" thickBot="1" x14ac:dyDescent="0.3">
      <c r="B24" s="73"/>
      <c r="C24" s="49" t="s">
        <v>26</v>
      </c>
      <c r="D24" s="93"/>
      <c r="E24" s="94"/>
      <c r="F24" s="94"/>
      <c r="G24" s="94"/>
      <c r="H24" s="94"/>
      <c r="I24" s="94"/>
      <c r="J24" s="94"/>
      <c r="K24" s="94"/>
      <c r="L24" s="94"/>
      <c r="M24" s="95"/>
    </row>
    <row r="25" spans="2:13" ht="27" customHeight="1" thickBot="1" x14ac:dyDescent="0.3">
      <c r="B25" s="73"/>
      <c r="C25" s="19" t="s">
        <v>27</v>
      </c>
      <c r="D25" s="96"/>
      <c r="E25" s="97"/>
      <c r="F25" s="97"/>
      <c r="G25" s="97"/>
      <c r="H25" s="97"/>
      <c r="I25" s="97"/>
      <c r="J25" s="97"/>
      <c r="K25" s="97"/>
      <c r="L25" s="97"/>
      <c r="M25" s="98"/>
    </row>
    <row r="26" spans="2:13" ht="27" customHeight="1" thickBot="1" x14ac:dyDescent="0.3">
      <c r="B26" s="73"/>
      <c r="C26" s="50" t="s">
        <v>28</v>
      </c>
      <c r="D26" s="93"/>
      <c r="E26" s="94"/>
      <c r="F26" s="94"/>
      <c r="G26" s="94"/>
      <c r="H26" s="94"/>
      <c r="I26" s="94"/>
      <c r="J26" s="94"/>
      <c r="K26" s="94"/>
      <c r="L26" s="94"/>
      <c r="M26" s="95"/>
    </row>
    <row r="27" spans="2:13" ht="27" customHeight="1" thickBot="1" x14ac:dyDescent="0.3">
      <c r="B27" s="73"/>
      <c r="C27" s="19" t="s">
        <v>29</v>
      </c>
      <c r="D27" s="113"/>
      <c r="E27" s="114"/>
      <c r="F27" s="114"/>
      <c r="G27" s="114"/>
      <c r="H27" s="114"/>
      <c r="I27" s="114"/>
      <c r="J27" s="114"/>
      <c r="K27" s="114"/>
      <c r="L27" s="114"/>
      <c r="M27" s="115"/>
    </row>
    <row r="28" spans="2:13" ht="27" customHeight="1" thickBot="1" x14ac:dyDescent="0.3">
      <c r="B28" s="57"/>
      <c r="C28" s="116"/>
      <c r="D28" s="116"/>
      <c r="E28" s="116"/>
      <c r="F28" s="116"/>
      <c r="G28" s="116"/>
      <c r="H28" s="116"/>
      <c r="I28" s="116"/>
      <c r="J28" s="116"/>
      <c r="K28" s="116"/>
      <c r="L28" s="116"/>
      <c r="M28" s="116"/>
    </row>
    <row r="29" spans="2:13" ht="27" customHeight="1" thickBot="1" x14ac:dyDescent="0.3">
      <c r="B29" s="2"/>
      <c r="C29" s="74" t="s">
        <v>72</v>
      </c>
      <c r="D29" s="75"/>
      <c r="E29" s="75"/>
      <c r="F29" s="75"/>
      <c r="G29" s="75"/>
      <c r="H29" s="75"/>
      <c r="I29" s="75"/>
      <c r="J29" s="75"/>
      <c r="K29" s="75"/>
      <c r="L29" s="75"/>
      <c r="M29" s="76"/>
    </row>
    <row r="30" spans="2:13" ht="27" customHeight="1" thickBot="1" x14ac:dyDescent="0.3">
      <c r="B30" s="2"/>
      <c r="C30" s="55" t="s">
        <v>158</v>
      </c>
      <c r="D30" s="99" t="str">
        <f ca="1">"MOBTKLF-"&amp;YEAR(NOW())&amp;MONTH(NOW())&amp;DAY(NOW())&amp;HOUR(NOW())&amp;MINUTE(NOW())</f>
        <v>MOBTKLF-20263132322</v>
      </c>
      <c r="E30" s="100"/>
      <c r="F30" s="100"/>
      <c r="G30" s="100"/>
      <c r="H30" s="100"/>
      <c r="I30" s="100"/>
      <c r="J30" s="100"/>
      <c r="K30" s="100"/>
      <c r="L30" s="100"/>
      <c r="M30" s="101"/>
    </row>
    <row r="31" spans="2:13" ht="27" customHeight="1" thickBot="1" x14ac:dyDescent="0.3">
      <c r="B31" s="2"/>
      <c r="C31" s="55" t="s">
        <v>32</v>
      </c>
      <c r="D31" s="3" t="s">
        <v>37</v>
      </c>
      <c r="E31" s="4" t="s">
        <v>35</v>
      </c>
      <c r="F31" s="4"/>
      <c r="G31" s="4" t="s">
        <v>34</v>
      </c>
      <c r="H31" s="4"/>
      <c r="I31" s="4" t="s">
        <v>36</v>
      </c>
      <c r="J31" s="4"/>
      <c r="K31" s="5" t="s">
        <v>51</v>
      </c>
      <c r="L31" s="4"/>
      <c r="M31" s="5" t="s">
        <v>44</v>
      </c>
    </row>
    <row r="32" spans="2:13" ht="27" customHeight="1" thickBot="1" x14ac:dyDescent="0.3">
      <c r="B32" s="2"/>
      <c r="C32" s="56" t="s">
        <v>16</v>
      </c>
      <c r="D32" s="62" t="s">
        <v>38</v>
      </c>
      <c r="E32" s="36" t="s">
        <v>39</v>
      </c>
      <c r="F32" s="36"/>
      <c r="G32" s="102" t="s">
        <v>40</v>
      </c>
      <c r="H32" s="102"/>
      <c r="I32" s="102"/>
      <c r="J32" s="102"/>
      <c r="K32" s="102"/>
      <c r="L32" s="6" t="s">
        <v>41</v>
      </c>
      <c r="M32" s="7"/>
    </row>
    <row r="33" spans="2:13" ht="27" customHeight="1" thickBot="1" x14ac:dyDescent="0.3">
      <c r="B33" s="2"/>
      <c r="C33" s="55" t="s">
        <v>53</v>
      </c>
      <c r="D33" s="103" t="s">
        <v>52</v>
      </c>
      <c r="E33" s="104"/>
      <c r="F33" s="104"/>
      <c r="G33" s="104"/>
      <c r="H33" s="104"/>
      <c r="I33" s="104"/>
      <c r="J33" s="104"/>
      <c r="K33" s="104"/>
      <c r="L33" s="104"/>
      <c r="M33" s="105"/>
    </row>
    <row r="34" spans="2:13" ht="27" customHeight="1" x14ac:dyDescent="0.25">
      <c r="B34" s="2"/>
      <c r="C34" s="79"/>
      <c r="D34" s="79"/>
      <c r="E34" s="79"/>
      <c r="F34" s="79"/>
      <c r="G34" s="79"/>
      <c r="H34" s="79"/>
      <c r="I34" s="79"/>
      <c r="J34" s="79"/>
      <c r="K34" s="79"/>
      <c r="L34" s="79"/>
      <c r="M34" s="79"/>
    </row>
    <row r="35" spans="2:13" x14ac:dyDescent="0.25">
      <c r="C35" s="82"/>
      <c r="D35" s="82"/>
      <c r="E35" s="82"/>
      <c r="F35" s="82"/>
      <c r="G35" s="82"/>
      <c r="H35" s="82"/>
      <c r="I35" s="82"/>
      <c r="J35" s="82"/>
      <c r="K35" s="82"/>
      <c r="L35" s="82"/>
      <c r="M35" s="82"/>
    </row>
    <row r="36" spans="2:13" ht="27" customHeight="1" x14ac:dyDescent="0.25">
      <c r="C36" s="86" t="s">
        <v>74</v>
      </c>
      <c r="D36" s="86"/>
      <c r="E36" s="86"/>
      <c r="F36" s="86"/>
      <c r="G36" s="86"/>
      <c r="H36" s="86"/>
      <c r="I36" s="86"/>
      <c r="J36" s="86"/>
      <c r="K36" s="86"/>
      <c r="L36" s="86"/>
      <c r="M36" s="87"/>
    </row>
    <row r="37" spans="2:13" ht="27" customHeight="1" x14ac:dyDescent="0.25">
      <c r="C37" s="20" t="s">
        <v>0</v>
      </c>
      <c r="D37" s="20" t="s">
        <v>1</v>
      </c>
      <c r="E37" s="20" t="s">
        <v>79</v>
      </c>
      <c r="F37" s="20" t="s">
        <v>80</v>
      </c>
      <c r="G37" s="20" t="s">
        <v>2</v>
      </c>
      <c r="H37" s="20" t="s">
        <v>42</v>
      </c>
      <c r="I37" s="20" t="s">
        <v>49</v>
      </c>
      <c r="J37" s="20" t="s">
        <v>50</v>
      </c>
      <c r="K37" s="20" t="s">
        <v>3</v>
      </c>
      <c r="L37" s="20" t="s">
        <v>43</v>
      </c>
      <c r="M37" s="20" t="s">
        <v>4</v>
      </c>
    </row>
    <row r="38" spans="2:13" ht="27" customHeight="1" x14ac:dyDescent="0.3">
      <c r="C38" s="10"/>
      <c r="D38" s="32" t="str">
        <f>IF(C38="","",VLOOKUP(C38,MutfakGrubu!$A:$C,2,0))</f>
        <v/>
      </c>
      <c r="E38" s="11"/>
      <c r="F38" s="10"/>
      <c r="G38" s="11">
        <v>0</v>
      </c>
      <c r="H38" s="31" t="str">
        <f>IF(C38="","",VLOOKUP(C38,MutfakGrubu!$A:$C,3,0))</f>
        <v/>
      </c>
      <c r="I38" s="17">
        <v>0</v>
      </c>
      <c r="J38" s="17">
        <v>0</v>
      </c>
      <c r="K38" s="21" t="s">
        <v>75</v>
      </c>
      <c r="L38" s="27" t="str">
        <f>IF(G38&gt;0,ROUND(H38*(1-I38/100)*(1-J38/100),2),"")</f>
        <v/>
      </c>
      <c r="M38" s="28" t="str">
        <f>IF(G38&gt;0,L38*G38,"")</f>
        <v/>
      </c>
    </row>
    <row r="39" spans="2:13" ht="27" customHeight="1" x14ac:dyDescent="0.3">
      <c r="C39" s="10"/>
      <c r="D39" s="32" t="str">
        <f>IF(C39="","",VLOOKUP(C39,MutfakGrubu!$A:$C,2,0))</f>
        <v/>
      </c>
      <c r="E39" s="11"/>
      <c r="F39" s="10"/>
      <c r="G39" s="11">
        <v>0</v>
      </c>
      <c r="H39" s="31" t="str">
        <f>IF(C39="","",VLOOKUP(C39,MutfakGrubu!$A:$C,3,0))</f>
        <v/>
      </c>
      <c r="I39" s="17">
        <v>0</v>
      </c>
      <c r="J39" s="17">
        <v>0</v>
      </c>
      <c r="K39" s="21" t="s">
        <v>75</v>
      </c>
      <c r="L39" s="27" t="str">
        <f t="shared" ref="L39:L40" si="0">IF(G39&gt;0,ROUND(H39*(1-I39/100)*(1-J39/100),2),"")</f>
        <v/>
      </c>
      <c r="M39" s="28" t="str">
        <f>IF(G39&gt;0,L39*G39,"")</f>
        <v/>
      </c>
    </row>
    <row r="40" spans="2:13" ht="27" customHeight="1" x14ac:dyDescent="0.3">
      <c r="C40" s="39"/>
      <c r="D40" s="32" t="str">
        <f>IF(C40="","",VLOOKUP(C40,MutfakGrubu!$A:$C,2,0))</f>
        <v/>
      </c>
      <c r="E40" s="11"/>
      <c r="F40" s="10"/>
      <c r="G40" s="11">
        <v>0</v>
      </c>
      <c r="H40" s="31" t="str">
        <f>IF(C40="","",VLOOKUP(C40,MutfakGrubu!$A:$C,3,0))</f>
        <v/>
      </c>
      <c r="I40" s="17">
        <v>0</v>
      </c>
      <c r="J40" s="17">
        <v>0</v>
      </c>
      <c r="K40" s="21" t="s">
        <v>75</v>
      </c>
      <c r="L40" s="27" t="str">
        <f t="shared" si="0"/>
        <v/>
      </c>
      <c r="M40" s="28" t="str">
        <f>IF(G40&gt;0,L40*G40,"")</f>
        <v/>
      </c>
    </row>
    <row r="41" spans="2:13" ht="27" customHeight="1" x14ac:dyDescent="0.35">
      <c r="C41" s="58" t="s">
        <v>81</v>
      </c>
      <c r="D41" s="59"/>
      <c r="E41" s="59"/>
      <c r="F41" s="8"/>
      <c r="G41" s="9">
        <f>SUM(G38+G39+G40)</f>
        <v>0</v>
      </c>
      <c r="H41" s="54"/>
      <c r="I41" s="54"/>
      <c r="J41" s="54"/>
      <c r="K41" s="8"/>
      <c r="L41" s="16" t="s">
        <v>6</v>
      </c>
      <c r="M41" s="29">
        <f>SUM(M38:M40)</f>
        <v>0</v>
      </c>
    </row>
    <row r="42" spans="2:13" ht="27" customHeight="1" x14ac:dyDescent="0.35">
      <c r="C42" s="60" t="s">
        <v>82</v>
      </c>
      <c r="D42" s="60" t="s">
        <v>83</v>
      </c>
      <c r="E42" s="60" t="s">
        <v>84</v>
      </c>
      <c r="F42" s="8"/>
      <c r="G42" s="8"/>
      <c r="H42" s="8"/>
      <c r="I42" s="8"/>
      <c r="J42" s="8"/>
      <c r="K42" s="8"/>
      <c r="L42" s="16" t="s">
        <v>76</v>
      </c>
      <c r="M42" s="30">
        <f>M41*10/100</f>
        <v>0</v>
      </c>
    </row>
    <row r="43" spans="2:13" ht="27" customHeight="1" x14ac:dyDescent="0.35">
      <c r="C43" s="60" t="s">
        <v>85</v>
      </c>
      <c r="D43" s="60" t="s">
        <v>86</v>
      </c>
      <c r="E43" s="60" t="s">
        <v>105</v>
      </c>
      <c r="F43" s="12"/>
      <c r="G43" s="12"/>
      <c r="H43" s="12"/>
      <c r="I43" s="12"/>
      <c r="J43" s="12"/>
      <c r="K43" s="12"/>
      <c r="L43" s="16" t="s">
        <v>7</v>
      </c>
      <c r="M43" s="29">
        <f>M42+M41</f>
        <v>0</v>
      </c>
    </row>
    <row r="44" spans="2:13" ht="27" customHeight="1" x14ac:dyDescent="0.35">
      <c r="C44" s="60" t="s">
        <v>87</v>
      </c>
      <c r="D44" s="61"/>
      <c r="E44" s="60"/>
      <c r="F44" s="12"/>
      <c r="G44" s="12"/>
      <c r="H44" s="12"/>
      <c r="I44" s="12"/>
      <c r="J44" s="12"/>
      <c r="K44" s="12"/>
      <c r="L44" s="13"/>
      <c r="M44" s="15"/>
    </row>
    <row r="45" spans="2:13" ht="27" customHeight="1" x14ac:dyDescent="0.35">
      <c r="C45" s="60" t="s">
        <v>88</v>
      </c>
      <c r="D45" s="60"/>
      <c r="E45" s="60"/>
      <c r="F45" s="12"/>
      <c r="G45" s="12"/>
      <c r="H45" s="12"/>
      <c r="I45" s="12"/>
      <c r="J45" s="12"/>
      <c r="K45" s="12"/>
      <c r="L45" s="13"/>
      <c r="M45" s="15"/>
    </row>
    <row r="46" spans="2:13" ht="27" customHeight="1" x14ac:dyDescent="0.35">
      <c r="C46" s="60"/>
      <c r="D46" s="60"/>
      <c r="E46" s="60"/>
      <c r="F46" s="12"/>
      <c r="G46" s="12"/>
      <c r="H46" s="12"/>
      <c r="I46" s="12"/>
      <c r="J46" s="12"/>
      <c r="K46" s="12"/>
      <c r="L46" s="13"/>
      <c r="M46" s="15"/>
    </row>
    <row r="47" spans="2:13" ht="27" customHeight="1" x14ac:dyDescent="0.35">
      <c r="C47" s="60"/>
      <c r="D47" s="60"/>
      <c r="E47" s="60"/>
      <c r="F47" s="12"/>
      <c r="G47" s="12"/>
      <c r="H47" s="12"/>
      <c r="I47" s="12"/>
      <c r="J47" s="12"/>
      <c r="K47" s="12"/>
      <c r="L47" s="13"/>
      <c r="M47" s="15"/>
    </row>
    <row r="48" spans="2:13" ht="27" customHeight="1" x14ac:dyDescent="0.35">
      <c r="C48" s="60"/>
      <c r="D48" s="60"/>
      <c r="E48" s="60"/>
      <c r="F48" s="12"/>
      <c r="G48" s="12"/>
      <c r="H48" s="12"/>
      <c r="I48" s="12"/>
      <c r="J48" s="12"/>
      <c r="K48" s="12"/>
      <c r="L48" s="13"/>
      <c r="M48" s="15"/>
    </row>
    <row r="49" spans="3:13" ht="27" customHeight="1" x14ac:dyDescent="0.35">
      <c r="C49" s="60"/>
      <c r="D49" s="60"/>
      <c r="E49" s="60"/>
      <c r="F49" s="12"/>
      <c r="G49" s="12"/>
      <c r="H49" s="12"/>
      <c r="I49" s="12"/>
      <c r="J49" s="12"/>
      <c r="K49" s="12"/>
      <c r="L49" s="13"/>
      <c r="M49" s="15"/>
    </row>
    <row r="50" spans="3:13" ht="27" customHeight="1" x14ac:dyDescent="0.35">
      <c r="C50" s="60"/>
      <c r="D50" s="60"/>
      <c r="E50" s="60"/>
      <c r="F50" s="12"/>
      <c r="G50" s="12"/>
      <c r="H50" s="12"/>
      <c r="I50" s="12"/>
      <c r="J50" s="12"/>
      <c r="K50" s="12"/>
      <c r="L50" s="13"/>
      <c r="M50" s="15"/>
    </row>
    <row r="51" spans="3:13" ht="27" customHeight="1" x14ac:dyDescent="0.35">
      <c r="C51" s="60"/>
      <c r="D51" s="60"/>
      <c r="E51" s="60"/>
      <c r="F51" s="12"/>
      <c r="G51" s="12"/>
      <c r="H51" s="12"/>
      <c r="I51" s="12"/>
      <c r="J51" s="12"/>
      <c r="K51" s="12"/>
      <c r="L51" s="13"/>
      <c r="M51" s="15"/>
    </row>
    <row r="52" spans="3:13" ht="27" customHeight="1" x14ac:dyDescent="0.35">
      <c r="C52" s="60"/>
      <c r="D52" s="60"/>
      <c r="E52" s="60"/>
      <c r="F52" s="12"/>
      <c r="G52" s="12"/>
      <c r="H52" s="12"/>
      <c r="I52" s="12"/>
      <c r="J52" s="12"/>
      <c r="K52" s="12"/>
      <c r="L52" s="13"/>
      <c r="M52" s="15"/>
    </row>
    <row r="53" spans="3:13" ht="27" customHeight="1" x14ac:dyDescent="0.35">
      <c r="C53" s="60"/>
      <c r="D53" s="60"/>
      <c r="E53" s="60"/>
      <c r="F53" s="12"/>
      <c r="G53" s="12"/>
      <c r="H53" s="12"/>
      <c r="I53" s="12"/>
      <c r="J53" s="12"/>
      <c r="K53" s="12"/>
      <c r="L53" s="13"/>
      <c r="M53" s="15"/>
    </row>
    <row r="54" spans="3:13" ht="27" customHeight="1" x14ac:dyDescent="0.35">
      <c r="C54" s="60"/>
      <c r="D54" s="60"/>
      <c r="E54" s="60"/>
      <c r="F54" s="12"/>
      <c r="G54" s="12"/>
      <c r="H54" s="12"/>
      <c r="I54" s="12"/>
      <c r="J54" s="12"/>
      <c r="K54" s="12"/>
      <c r="L54" s="13"/>
      <c r="M54" s="15"/>
    </row>
    <row r="55" spans="3:13" ht="27" customHeight="1" x14ac:dyDescent="0.35">
      <c r="C55" s="60"/>
      <c r="D55" s="60"/>
      <c r="E55" s="60"/>
      <c r="F55" s="12"/>
      <c r="G55" s="12"/>
      <c r="H55" s="12"/>
      <c r="I55" s="12"/>
      <c r="J55" s="12"/>
      <c r="K55" s="12"/>
      <c r="L55" s="13"/>
      <c r="M55" s="15"/>
    </row>
    <row r="56" spans="3:13" ht="27" customHeight="1" x14ac:dyDescent="0.35">
      <c r="C56" s="61"/>
      <c r="D56" s="60"/>
      <c r="E56" s="60"/>
      <c r="F56" s="12"/>
      <c r="G56" s="12"/>
      <c r="H56" s="12"/>
      <c r="I56" s="12"/>
      <c r="J56" s="12"/>
      <c r="K56" s="12"/>
      <c r="L56" s="13"/>
      <c r="M56" s="15"/>
    </row>
    <row r="57" spans="3:13" ht="27" customHeight="1" x14ac:dyDescent="0.25">
      <c r="C57" s="86" t="s">
        <v>77</v>
      </c>
      <c r="D57" s="86"/>
      <c r="E57" s="86"/>
      <c r="F57" s="86"/>
      <c r="G57" s="86"/>
      <c r="H57" s="86"/>
      <c r="I57" s="86"/>
      <c r="J57" s="86"/>
      <c r="K57" s="86"/>
      <c r="L57" s="86"/>
      <c r="M57" s="87"/>
    </row>
    <row r="58" spans="3:13" ht="27" customHeight="1" x14ac:dyDescent="0.25">
      <c r="C58" s="20" t="s">
        <v>0</v>
      </c>
      <c r="D58" s="20" t="s">
        <v>1</v>
      </c>
      <c r="E58" s="20" t="s">
        <v>79</v>
      </c>
      <c r="F58" s="20" t="s">
        <v>80</v>
      </c>
      <c r="G58" s="20" t="s">
        <v>2</v>
      </c>
      <c r="H58" s="20" t="s">
        <v>42</v>
      </c>
      <c r="I58" s="20" t="s">
        <v>49</v>
      </c>
      <c r="J58" s="20" t="s">
        <v>50</v>
      </c>
      <c r="K58" s="20" t="s">
        <v>3</v>
      </c>
      <c r="L58" s="20" t="s">
        <v>43</v>
      </c>
      <c r="M58" s="20" t="s">
        <v>4</v>
      </c>
    </row>
    <row r="59" spans="3:13" ht="27" customHeight="1" x14ac:dyDescent="0.3">
      <c r="C59" s="10"/>
      <c r="D59" s="32" t="str">
        <f>IF(C59="","",VLOOKUP(C59,PortmantoGrubu!$A:$C,2,0))</f>
        <v/>
      </c>
      <c r="E59" s="11"/>
      <c r="F59" s="10"/>
      <c r="G59" s="11">
        <v>0</v>
      </c>
      <c r="H59" s="31" t="str">
        <f>IF(C59="","",VLOOKUP(C59,PortmantoGrubu!$A:$C,3,0))</f>
        <v/>
      </c>
      <c r="I59" s="17">
        <v>0</v>
      </c>
      <c r="J59" s="17">
        <v>0</v>
      </c>
      <c r="K59" s="21" t="s">
        <v>100</v>
      </c>
      <c r="L59" s="27" t="str">
        <f>IF(G59&gt;0,ROUND(H59*(1-I59/100)*(1-J59/100),2),"")</f>
        <v/>
      </c>
      <c r="M59" s="28" t="str">
        <f>IF(G59&gt;0,L59*G59,"")</f>
        <v/>
      </c>
    </row>
    <row r="60" spans="3:13" ht="27" customHeight="1" x14ac:dyDescent="0.3">
      <c r="C60" s="10"/>
      <c r="D60" s="32" t="str">
        <f>IF(C60="","",VLOOKUP(C60,PortmantoGrubu!$A:$C,2,0))</f>
        <v/>
      </c>
      <c r="E60" s="11"/>
      <c r="F60" s="10"/>
      <c r="G60" s="11">
        <v>0</v>
      </c>
      <c r="H60" s="31" t="str">
        <f>IF(C60="","",VLOOKUP(C60,PortmantoGrubu!$A:$C,3,0))</f>
        <v/>
      </c>
      <c r="I60" s="17">
        <v>0</v>
      </c>
      <c r="J60" s="17">
        <v>0</v>
      </c>
      <c r="K60" s="21" t="s">
        <v>100</v>
      </c>
      <c r="L60" s="27" t="str">
        <f t="shared" ref="L60:L61" si="1">IF(G60&gt;0,ROUND(H60*(1-I60/100)*(1-J60/100),2),"")</f>
        <v/>
      </c>
      <c r="M60" s="28" t="str">
        <f>IF(G60&gt;0,L60*G60,"")</f>
        <v/>
      </c>
    </row>
    <row r="61" spans="3:13" ht="27" customHeight="1" x14ac:dyDescent="0.3">
      <c r="C61" s="39"/>
      <c r="D61" s="32" t="str">
        <f>IF(C61="","",VLOOKUP(C61,PortmantoGrubu!$A:$C,2,0))</f>
        <v/>
      </c>
      <c r="E61" s="11"/>
      <c r="F61" s="10"/>
      <c r="G61" s="11">
        <v>0</v>
      </c>
      <c r="H61" s="31" t="str">
        <f>IF(C61="","",VLOOKUP(C61,PortmantoGrubu!$A:$C,3,0))</f>
        <v/>
      </c>
      <c r="I61" s="17">
        <v>0</v>
      </c>
      <c r="J61" s="17">
        <v>0</v>
      </c>
      <c r="K61" s="21" t="s">
        <v>100</v>
      </c>
      <c r="L61" s="27" t="str">
        <f t="shared" si="1"/>
        <v/>
      </c>
      <c r="M61" s="28" t="str">
        <f>IF(G61&gt;0,L61*G61,"")</f>
        <v/>
      </c>
    </row>
    <row r="62" spans="3:13" ht="27" customHeight="1" x14ac:dyDescent="0.35">
      <c r="C62" s="58" t="s">
        <v>89</v>
      </c>
      <c r="D62" s="59"/>
      <c r="E62" s="59"/>
      <c r="F62" s="8"/>
      <c r="G62" s="9">
        <f>SUM(G59+G60+G61)</f>
        <v>0</v>
      </c>
      <c r="H62" s="54"/>
      <c r="I62" s="54"/>
      <c r="J62" s="54"/>
      <c r="K62" s="8"/>
      <c r="L62" s="16" t="s">
        <v>6</v>
      </c>
      <c r="M62" s="29">
        <f>SUM(M59:M61)</f>
        <v>0</v>
      </c>
    </row>
    <row r="63" spans="3:13" ht="27" customHeight="1" x14ac:dyDescent="0.35">
      <c r="C63" s="60" t="s">
        <v>82</v>
      </c>
      <c r="D63" s="60"/>
      <c r="E63" s="60" t="s">
        <v>90</v>
      </c>
      <c r="F63" s="8"/>
      <c r="G63" s="8"/>
      <c r="H63" s="8"/>
      <c r="I63" s="8"/>
      <c r="J63" s="8"/>
      <c r="K63" s="8"/>
      <c r="L63" s="16" t="s">
        <v>76</v>
      </c>
      <c r="M63" s="30">
        <f>M62*10/100</f>
        <v>0</v>
      </c>
    </row>
    <row r="64" spans="3:13" ht="27" customHeight="1" x14ac:dyDescent="0.35">
      <c r="C64" s="60" t="s">
        <v>91</v>
      </c>
      <c r="D64" s="60"/>
      <c r="E64" s="60" t="s">
        <v>84</v>
      </c>
      <c r="F64" s="12"/>
      <c r="G64" s="12"/>
      <c r="H64" s="12"/>
      <c r="I64" s="12"/>
      <c r="J64" s="12"/>
      <c r="K64" s="12"/>
      <c r="L64" s="16" t="s">
        <v>7</v>
      </c>
      <c r="M64" s="29">
        <f>M63+M62</f>
        <v>0</v>
      </c>
    </row>
    <row r="65" spans="3:13" ht="27" customHeight="1" x14ac:dyDescent="0.35">
      <c r="C65" s="60" t="s">
        <v>87</v>
      </c>
      <c r="D65" s="61"/>
      <c r="E65" s="60" t="s">
        <v>92</v>
      </c>
      <c r="F65" s="12"/>
      <c r="G65" s="12"/>
      <c r="H65" s="12"/>
      <c r="I65" s="12"/>
      <c r="J65" s="12"/>
      <c r="K65" s="12"/>
      <c r="L65" s="13"/>
      <c r="M65" s="15"/>
    </row>
    <row r="66" spans="3:13" ht="27" customHeight="1" x14ac:dyDescent="0.35">
      <c r="C66" s="60" t="s">
        <v>93</v>
      </c>
      <c r="D66" s="60"/>
      <c r="E66" s="60" t="s">
        <v>105</v>
      </c>
      <c r="F66" s="12"/>
      <c r="G66" s="12"/>
      <c r="H66" s="12"/>
      <c r="I66" s="12"/>
      <c r="J66" s="12"/>
      <c r="K66" s="12"/>
      <c r="L66" s="13"/>
      <c r="M66" s="15"/>
    </row>
    <row r="67" spans="3:13" ht="27" customHeight="1" x14ac:dyDescent="0.35">
      <c r="C67" s="60" t="s">
        <v>94</v>
      </c>
      <c r="D67" s="60"/>
      <c r="E67" s="60"/>
      <c r="F67" s="12"/>
      <c r="G67" s="12"/>
      <c r="H67" s="12"/>
      <c r="I67" s="12"/>
      <c r="J67" s="12"/>
      <c r="K67" s="12"/>
      <c r="L67" s="13"/>
      <c r="M67" s="15"/>
    </row>
    <row r="68" spans="3:13" ht="27" customHeight="1" x14ac:dyDescent="0.35">
      <c r="D68" s="12"/>
      <c r="E68" s="12"/>
      <c r="F68" s="12"/>
      <c r="G68" s="12"/>
      <c r="H68" s="12"/>
      <c r="I68" s="12"/>
      <c r="J68" s="12"/>
      <c r="K68" s="12"/>
      <c r="L68" s="13"/>
      <c r="M68" s="15"/>
    </row>
    <row r="69" spans="3:13" ht="27" customHeight="1" x14ac:dyDescent="0.25">
      <c r="C69" s="86" t="s">
        <v>78</v>
      </c>
      <c r="D69" s="86"/>
      <c r="E69" s="86"/>
      <c r="F69" s="86"/>
      <c r="G69" s="86"/>
      <c r="H69" s="86"/>
      <c r="I69" s="86"/>
      <c r="J69" s="86"/>
      <c r="K69" s="86"/>
      <c r="L69" s="86"/>
      <c r="M69" s="87"/>
    </row>
    <row r="70" spans="3:13" ht="27" customHeight="1" x14ac:dyDescent="0.25">
      <c r="C70" s="20" t="s">
        <v>0</v>
      </c>
      <c r="D70" s="20" t="s">
        <v>1</v>
      </c>
      <c r="E70" s="20" t="s">
        <v>79</v>
      </c>
      <c r="F70" s="20" t="s">
        <v>80</v>
      </c>
      <c r="G70" s="20" t="s">
        <v>2</v>
      </c>
      <c r="H70" s="20" t="s">
        <v>42</v>
      </c>
      <c r="I70" s="20" t="s">
        <v>49</v>
      </c>
      <c r="J70" s="20" t="s">
        <v>50</v>
      </c>
      <c r="K70" s="20" t="s">
        <v>3</v>
      </c>
      <c r="L70" s="20" t="s">
        <v>43</v>
      </c>
      <c r="M70" s="20" t="s">
        <v>4</v>
      </c>
    </row>
    <row r="71" spans="3:13" ht="27" customHeight="1" x14ac:dyDescent="0.3">
      <c r="C71" s="10"/>
      <c r="D71" s="63"/>
      <c r="E71" s="11"/>
      <c r="F71" s="10"/>
      <c r="G71" s="11">
        <v>0</v>
      </c>
      <c r="H71" s="64"/>
      <c r="I71" s="17">
        <v>0</v>
      </c>
      <c r="J71" s="17">
        <v>0</v>
      </c>
      <c r="K71" s="65" t="s">
        <v>5</v>
      </c>
      <c r="L71" s="27" t="str">
        <f>IF(G71&gt;0,ROUND(H71*(1-I71/100)*(1-J71/100),2),"")</f>
        <v/>
      </c>
      <c r="M71" s="28" t="str">
        <f>IF(G71&gt;0,L71*G71,"")</f>
        <v/>
      </c>
    </row>
    <row r="72" spans="3:13" ht="27" customHeight="1" x14ac:dyDescent="0.3">
      <c r="C72" s="10"/>
      <c r="D72" s="63"/>
      <c r="E72" s="11"/>
      <c r="F72" s="10"/>
      <c r="G72" s="11">
        <v>0</v>
      </c>
      <c r="H72" s="64"/>
      <c r="I72" s="17">
        <v>0</v>
      </c>
      <c r="J72" s="17">
        <v>0</v>
      </c>
      <c r="K72" s="65" t="s">
        <v>5</v>
      </c>
      <c r="L72" s="27" t="str">
        <f t="shared" ref="L72:L73" si="2">IF(G72&gt;0,ROUND(H72*(1-I72/100)*(1-J72/100),2),"")</f>
        <v/>
      </c>
      <c r="M72" s="28" t="str">
        <f>IF(G72&gt;0,L72*G72,"")</f>
        <v/>
      </c>
    </row>
    <row r="73" spans="3:13" ht="27" customHeight="1" x14ac:dyDescent="0.3">
      <c r="C73" s="39"/>
      <c r="D73" s="63"/>
      <c r="E73" s="11"/>
      <c r="F73" s="10"/>
      <c r="G73" s="11">
        <v>0</v>
      </c>
      <c r="H73" s="64"/>
      <c r="I73" s="17">
        <v>0</v>
      </c>
      <c r="J73" s="17">
        <v>0</v>
      </c>
      <c r="K73" s="65" t="s">
        <v>5</v>
      </c>
      <c r="L73" s="27" t="str">
        <f t="shared" si="2"/>
        <v/>
      </c>
      <c r="M73" s="28" t="str">
        <f>IF(G73&gt;0,L73*G73,"")</f>
        <v/>
      </c>
    </row>
    <row r="74" spans="3:13" ht="27" customHeight="1" x14ac:dyDescent="0.35">
      <c r="C74" s="58" t="s">
        <v>95</v>
      </c>
      <c r="D74" s="59"/>
      <c r="E74" s="59"/>
      <c r="F74" s="8"/>
      <c r="G74" s="9">
        <f>SUM(G71+G72+G73)</f>
        <v>0</v>
      </c>
      <c r="H74" s="54"/>
      <c r="I74" s="54"/>
      <c r="J74" s="54"/>
      <c r="K74" s="8"/>
      <c r="L74" s="16" t="s">
        <v>6</v>
      </c>
      <c r="M74" s="29">
        <f>SUM(M71:M73)</f>
        <v>0</v>
      </c>
    </row>
    <row r="75" spans="3:13" ht="27" customHeight="1" x14ac:dyDescent="0.35">
      <c r="C75" s="60" t="s">
        <v>82</v>
      </c>
      <c r="D75" s="60"/>
      <c r="E75" s="60" t="s">
        <v>96</v>
      </c>
      <c r="F75" s="8"/>
      <c r="G75" s="8"/>
      <c r="H75" s="8"/>
      <c r="I75" s="8"/>
      <c r="J75" s="8"/>
      <c r="K75" s="8"/>
      <c r="L75" s="16" t="s">
        <v>76</v>
      </c>
      <c r="M75" s="30">
        <f>M74*10/100</f>
        <v>0</v>
      </c>
    </row>
    <row r="76" spans="3:13" ht="27" customHeight="1" x14ac:dyDescent="0.35">
      <c r="C76" s="60" t="s">
        <v>97</v>
      </c>
      <c r="D76" s="60"/>
      <c r="E76" s="60" t="s">
        <v>98</v>
      </c>
      <c r="F76" s="12"/>
      <c r="G76" s="12"/>
      <c r="H76" s="12"/>
      <c r="I76" s="12"/>
      <c r="J76" s="12"/>
      <c r="K76" s="12"/>
      <c r="L76" s="16" t="s">
        <v>7</v>
      </c>
      <c r="M76" s="29">
        <f>M75+M74</f>
        <v>0</v>
      </c>
    </row>
    <row r="77" spans="3:13" ht="27" customHeight="1" x14ac:dyDescent="0.35">
      <c r="C77" s="60" t="s">
        <v>87</v>
      </c>
      <c r="D77" s="60"/>
      <c r="E77" s="60" t="s">
        <v>105</v>
      </c>
      <c r="F77" s="12"/>
      <c r="G77" s="12"/>
      <c r="H77" s="12"/>
      <c r="I77" s="12"/>
      <c r="J77" s="12"/>
      <c r="K77" s="12"/>
      <c r="L77" s="13"/>
      <c r="M77" s="15"/>
    </row>
    <row r="78" spans="3:13" ht="27" customHeight="1" x14ac:dyDescent="0.35">
      <c r="C78" s="60" t="s">
        <v>99</v>
      </c>
      <c r="D78" s="60"/>
      <c r="E78" s="60"/>
      <c r="F78" s="12"/>
      <c r="G78" s="12"/>
      <c r="H78" s="12"/>
      <c r="I78" s="12"/>
      <c r="J78" s="12"/>
      <c r="K78" s="12"/>
      <c r="L78" s="13"/>
      <c r="M78" s="15"/>
    </row>
    <row r="79" spans="3:13" ht="27" customHeight="1" x14ac:dyDescent="0.35">
      <c r="C79" s="60" t="s">
        <v>83</v>
      </c>
      <c r="D79" s="60"/>
      <c r="E79" s="60"/>
      <c r="F79" s="12"/>
      <c r="G79" s="12"/>
      <c r="H79" s="12"/>
      <c r="I79" s="12"/>
      <c r="J79" s="12"/>
      <c r="K79" s="12"/>
      <c r="L79" s="13"/>
      <c r="M79" s="15"/>
    </row>
    <row r="80" spans="3:13" ht="27" customHeight="1" x14ac:dyDescent="0.35">
      <c r="D80" s="12"/>
      <c r="E80" s="12"/>
      <c r="F80" s="12"/>
      <c r="G80" s="12"/>
      <c r="H80" s="12"/>
      <c r="I80" s="12"/>
      <c r="J80" s="12"/>
      <c r="K80" s="12"/>
      <c r="L80" s="13"/>
      <c r="M80" s="15"/>
    </row>
    <row r="81" spans="3:13" ht="27" customHeight="1" thickBot="1" x14ac:dyDescent="0.4">
      <c r="C81" s="12"/>
      <c r="D81" s="12"/>
      <c r="E81" s="12"/>
      <c r="F81" s="12"/>
      <c r="G81" s="12"/>
      <c r="H81" s="12"/>
      <c r="I81" s="12"/>
      <c r="J81" s="12"/>
      <c r="K81" s="12"/>
      <c r="L81" s="13"/>
      <c r="M81" s="14"/>
    </row>
    <row r="82" spans="3:13" ht="27" customHeight="1" thickBot="1" x14ac:dyDescent="0.3">
      <c r="C82" s="117" t="s">
        <v>54</v>
      </c>
      <c r="D82" s="119"/>
      <c r="E82" s="46"/>
      <c r="F82" s="46"/>
      <c r="G82" s="46"/>
      <c r="H82" s="46"/>
      <c r="I82" s="46"/>
      <c r="J82" s="117" t="s">
        <v>61</v>
      </c>
      <c r="K82" s="118"/>
      <c r="L82" s="119"/>
      <c r="M82" s="14"/>
    </row>
    <row r="83" spans="3:13" ht="27" customHeight="1" x14ac:dyDescent="0.35">
      <c r="C83" s="40" t="s">
        <v>55</v>
      </c>
      <c r="D83" s="43"/>
      <c r="E83" s="46"/>
      <c r="F83" s="46"/>
      <c r="G83" s="46"/>
      <c r="H83" s="46"/>
      <c r="I83" s="46"/>
      <c r="J83" s="134" t="s">
        <v>101</v>
      </c>
      <c r="K83" s="135"/>
      <c r="L83" s="45">
        <f>M43</f>
        <v>0</v>
      </c>
      <c r="M83" s="14"/>
    </row>
    <row r="84" spans="3:13" ht="27" customHeight="1" x14ac:dyDescent="0.35">
      <c r="C84" s="41" t="s">
        <v>56</v>
      </c>
      <c r="D84" s="43"/>
      <c r="E84" s="46"/>
      <c r="F84" s="46"/>
      <c r="G84" s="46"/>
      <c r="H84" s="46"/>
      <c r="I84" s="46"/>
      <c r="J84" s="136" t="s">
        <v>102</v>
      </c>
      <c r="K84" s="137"/>
      <c r="L84" s="67">
        <f>M64</f>
        <v>0</v>
      </c>
      <c r="M84" s="14"/>
    </row>
    <row r="85" spans="3:13" ht="27" customHeight="1" thickBot="1" x14ac:dyDescent="0.4">
      <c r="C85" s="41" t="s">
        <v>57</v>
      </c>
      <c r="D85" s="43"/>
      <c r="E85" s="46"/>
      <c r="F85" s="46"/>
      <c r="G85" s="46"/>
      <c r="H85" s="46"/>
      <c r="I85" s="46"/>
      <c r="J85" s="131" t="s">
        <v>103</v>
      </c>
      <c r="K85" s="132"/>
      <c r="L85" s="68">
        <f>M76</f>
        <v>0</v>
      </c>
      <c r="M85" s="14"/>
    </row>
    <row r="86" spans="3:13" ht="27" customHeight="1" thickBot="1" x14ac:dyDescent="0.4">
      <c r="C86" s="41" t="s">
        <v>58</v>
      </c>
      <c r="D86" s="43"/>
      <c r="E86" s="46"/>
      <c r="F86" s="46"/>
      <c r="G86" s="46"/>
      <c r="H86" s="46"/>
      <c r="I86" s="46"/>
      <c r="J86" s="131" t="s">
        <v>104</v>
      </c>
      <c r="K86" s="132"/>
      <c r="L86" s="69">
        <f>M76+M64+M43</f>
        <v>0</v>
      </c>
      <c r="M86" s="14"/>
    </row>
    <row r="87" spans="3:13" ht="27" customHeight="1" x14ac:dyDescent="0.35">
      <c r="C87" s="41" t="s">
        <v>59</v>
      </c>
      <c r="D87" s="43"/>
      <c r="E87" s="46"/>
      <c r="F87" s="46"/>
      <c r="G87" s="46"/>
      <c r="H87" s="46"/>
      <c r="I87" s="46"/>
      <c r="J87" s="12"/>
      <c r="K87" s="12"/>
      <c r="L87" s="13"/>
      <c r="M87" s="14"/>
    </row>
    <row r="88" spans="3:13" ht="27" customHeight="1" thickBot="1" x14ac:dyDescent="0.4">
      <c r="C88" s="42" t="s">
        <v>60</v>
      </c>
      <c r="D88" s="44"/>
      <c r="E88" s="46"/>
      <c r="F88" s="46"/>
      <c r="G88" s="46"/>
      <c r="H88" s="46"/>
      <c r="I88" s="46"/>
      <c r="J88" s="12"/>
      <c r="K88" s="12"/>
      <c r="L88" s="13"/>
      <c r="M88" s="14"/>
    </row>
    <row r="89" spans="3:13" ht="27" customHeight="1" x14ac:dyDescent="0.35">
      <c r="C89" s="12"/>
      <c r="D89" s="12"/>
      <c r="E89" s="46"/>
      <c r="F89" s="46"/>
      <c r="G89" s="46"/>
      <c r="H89" s="46"/>
      <c r="I89" s="46"/>
      <c r="J89" s="12"/>
      <c r="K89" s="12"/>
      <c r="L89" s="13"/>
      <c r="M89" s="14"/>
    </row>
    <row r="90" spans="3:13" ht="27" customHeight="1" x14ac:dyDescent="0.25">
      <c r="C90" s="139" t="s">
        <v>45</v>
      </c>
      <c r="D90" s="139"/>
      <c r="E90" s="139"/>
      <c r="F90" s="139"/>
      <c r="G90" s="139"/>
      <c r="H90" s="139"/>
      <c r="I90" s="139"/>
      <c r="J90" s="139"/>
      <c r="K90" s="139"/>
      <c r="L90" s="139"/>
      <c r="M90" s="139"/>
    </row>
    <row r="91" spans="3:13" ht="27" customHeight="1" x14ac:dyDescent="0.25">
      <c r="C91" s="86" t="s">
        <v>165</v>
      </c>
      <c r="D91" s="86"/>
      <c r="E91" s="86"/>
      <c r="F91" s="86"/>
      <c r="G91" s="86"/>
      <c r="H91" s="86"/>
      <c r="I91" s="86"/>
      <c r="J91" s="86"/>
      <c r="K91" s="86"/>
      <c r="L91" s="86"/>
      <c r="M91" s="87"/>
    </row>
    <row r="92" spans="3:13" ht="27" customHeight="1" x14ac:dyDescent="0.35">
      <c r="C92" s="70" t="s">
        <v>159</v>
      </c>
      <c r="D92" s="47"/>
      <c r="E92" s="47"/>
      <c r="F92" s="22"/>
      <c r="G92" s="23"/>
      <c r="H92" s="23"/>
      <c r="I92" s="123" t="s">
        <v>160</v>
      </c>
      <c r="J92" s="123"/>
      <c r="K92" s="123"/>
      <c r="L92" s="123"/>
      <c r="M92" s="123"/>
    </row>
    <row r="93" spans="3:13" ht="27" customHeight="1" x14ac:dyDescent="0.35">
      <c r="C93" s="70" t="s">
        <v>161</v>
      </c>
      <c r="D93" s="47"/>
      <c r="E93" s="47"/>
      <c r="F93" s="22"/>
      <c r="G93" s="23"/>
      <c r="H93" s="23"/>
      <c r="I93" s="124" t="s">
        <v>70</v>
      </c>
      <c r="J93" s="124"/>
      <c r="K93" s="124"/>
      <c r="L93" s="124"/>
      <c r="M93" s="124"/>
    </row>
    <row r="94" spans="3:13" ht="27" customHeight="1" x14ac:dyDescent="0.35">
      <c r="C94" s="70" t="s">
        <v>162</v>
      </c>
      <c r="D94" s="47"/>
      <c r="E94" s="47"/>
      <c r="F94" s="22"/>
      <c r="G94" s="23"/>
      <c r="H94" s="23"/>
      <c r="I94" s="124" t="s">
        <v>71</v>
      </c>
      <c r="J94" s="124"/>
      <c r="K94" s="124"/>
      <c r="L94" s="124"/>
      <c r="M94" s="124"/>
    </row>
    <row r="95" spans="3:13" ht="27" customHeight="1" x14ac:dyDescent="0.35">
      <c r="C95" s="70" t="s">
        <v>163</v>
      </c>
      <c r="D95" s="47"/>
      <c r="E95" s="47"/>
      <c r="F95" s="22"/>
      <c r="G95" s="23"/>
      <c r="H95" s="23"/>
      <c r="I95" s="124" t="s">
        <v>64</v>
      </c>
      <c r="J95" s="124"/>
      <c r="K95" s="124"/>
      <c r="L95" s="124"/>
      <c r="M95" s="124"/>
    </row>
    <row r="96" spans="3:13" ht="27" customHeight="1" x14ac:dyDescent="0.35">
      <c r="C96" s="70" t="s">
        <v>164</v>
      </c>
      <c r="D96" s="47"/>
      <c r="E96" s="47"/>
      <c r="F96" s="22"/>
      <c r="G96" s="23"/>
      <c r="H96" s="23"/>
      <c r="I96" s="124" t="s">
        <v>65</v>
      </c>
      <c r="J96" s="124"/>
      <c r="K96" s="124"/>
      <c r="L96" s="124"/>
      <c r="M96" s="124"/>
    </row>
    <row r="97" spans="3:13" ht="27" customHeight="1" x14ac:dyDescent="0.25">
      <c r="C97" s="22"/>
      <c r="D97" s="47"/>
      <c r="E97" s="47"/>
      <c r="F97" s="22"/>
      <c r="G97" s="12"/>
      <c r="H97" s="12"/>
      <c r="I97" s="133"/>
      <c r="J97" s="133"/>
      <c r="K97" s="133"/>
      <c r="L97" s="133"/>
      <c r="M97" s="133"/>
    </row>
    <row r="98" spans="3:13" ht="27" customHeight="1" x14ac:dyDescent="0.25">
      <c r="C98" s="86" t="s">
        <v>17</v>
      </c>
      <c r="D98" s="86"/>
      <c r="E98" s="86"/>
      <c r="F98" s="86"/>
      <c r="G98" s="86"/>
      <c r="H98" s="86"/>
      <c r="I98" s="86"/>
      <c r="J98" s="86"/>
      <c r="K98" s="86"/>
      <c r="L98" s="86"/>
      <c r="M98" s="87"/>
    </row>
    <row r="99" spans="3:13" ht="27" customHeight="1" thickBot="1" x14ac:dyDescent="0.3">
      <c r="C99" s="122"/>
      <c r="D99" s="122"/>
      <c r="E99" s="122"/>
      <c r="F99" s="122"/>
      <c r="G99" s="122"/>
      <c r="H99" s="122"/>
      <c r="I99" s="122"/>
      <c r="J99" s="122"/>
      <c r="K99" s="122"/>
      <c r="L99" s="122"/>
      <c r="M99" s="122"/>
    </row>
    <row r="100" spans="3:13" ht="27" customHeight="1" x14ac:dyDescent="0.25">
      <c r="C100" s="120" t="s">
        <v>18</v>
      </c>
      <c r="D100" s="121"/>
      <c r="E100" s="128"/>
      <c r="F100" s="129"/>
      <c r="G100" s="129"/>
      <c r="H100" s="129"/>
      <c r="I100" s="129"/>
      <c r="J100" s="130"/>
      <c r="K100" s="120" t="s">
        <v>63</v>
      </c>
      <c r="L100" s="138"/>
      <c r="M100" s="121"/>
    </row>
    <row r="101" spans="3:13" ht="27" customHeight="1" x14ac:dyDescent="0.25">
      <c r="C101" s="25" t="s">
        <v>8</v>
      </c>
      <c r="D101" s="51" t="s">
        <v>13</v>
      </c>
      <c r="E101" s="128"/>
      <c r="F101" s="129"/>
      <c r="G101" s="129"/>
      <c r="H101" s="129"/>
      <c r="I101" s="129"/>
      <c r="J101" s="130"/>
      <c r="K101" s="125" t="s">
        <v>62</v>
      </c>
      <c r="L101" s="126"/>
      <c r="M101" s="127"/>
    </row>
    <row r="102" spans="3:13" ht="27" customHeight="1" x14ac:dyDescent="0.25">
      <c r="C102" s="25" t="s">
        <v>9</v>
      </c>
      <c r="D102" s="51" t="s">
        <v>15</v>
      </c>
      <c r="E102" s="128"/>
      <c r="F102" s="129"/>
      <c r="G102" s="129"/>
      <c r="H102" s="129"/>
      <c r="I102" s="129"/>
      <c r="J102" s="130"/>
      <c r="K102" s="125" t="s">
        <v>67</v>
      </c>
      <c r="L102" s="126"/>
      <c r="M102" s="127"/>
    </row>
    <row r="103" spans="3:13" ht="27" customHeight="1" x14ac:dyDescent="0.25">
      <c r="C103" s="25" t="s">
        <v>69</v>
      </c>
      <c r="D103" s="51" t="s">
        <v>12</v>
      </c>
      <c r="E103" s="128"/>
      <c r="F103" s="129"/>
      <c r="G103" s="129"/>
      <c r="H103" s="129"/>
      <c r="I103" s="129"/>
      <c r="J103" s="130"/>
      <c r="K103" s="125" t="s">
        <v>68</v>
      </c>
      <c r="L103" s="126"/>
      <c r="M103" s="127"/>
    </row>
    <row r="104" spans="3:13" ht="27" customHeight="1" thickBot="1" x14ac:dyDescent="0.3">
      <c r="C104" s="26" t="s">
        <v>10</v>
      </c>
      <c r="D104" s="52" t="s">
        <v>14</v>
      </c>
      <c r="E104" s="128"/>
      <c r="F104" s="129"/>
      <c r="G104" s="129"/>
      <c r="H104" s="129"/>
      <c r="I104" s="129"/>
      <c r="J104" s="130"/>
      <c r="K104" s="53"/>
      <c r="L104" s="34"/>
      <c r="M104" s="35"/>
    </row>
    <row r="105" spans="3:13" ht="27" customHeight="1" x14ac:dyDescent="0.25">
      <c r="C105" s="23"/>
      <c r="D105" s="23"/>
      <c r="E105" s="23"/>
      <c r="F105" s="23"/>
      <c r="G105" s="24"/>
      <c r="H105" s="24"/>
      <c r="I105" s="24"/>
      <c r="J105" s="24"/>
      <c r="K105" s="24"/>
      <c r="L105" s="24"/>
      <c r="M105" s="24"/>
    </row>
    <row r="106" spans="3:13" ht="27" customHeight="1" thickBot="1" x14ac:dyDescent="0.3">
      <c r="C106" s="86" t="s">
        <v>66</v>
      </c>
      <c r="D106" s="86"/>
      <c r="E106" s="86"/>
      <c r="F106" s="86"/>
      <c r="G106" s="86"/>
      <c r="H106" s="86"/>
      <c r="I106" s="86"/>
      <c r="J106" s="86"/>
      <c r="K106" s="86"/>
      <c r="L106" s="86"/>
      <c r="M106" s="87"/>
    </row>
    <row r="107" spans="3:13" ht="27" customHeight="1" thickBot="1" x14ac:dyDescent="0.3">
      <c r="C107" s="117" t="s">
        <v>19</v>
      </c>
      <c r="D107" s="119"/>
      <c r="E107" s="24"/>
      <c r="F107" s="24"/>
      <c r="G107" s="24"/>
      <c r="H107" s="24"/>
      <c r="I107" s="24"/>
      <c r="J107" s="117">
        <f>D23</f>
        <v>0</v>
      </c>
      <c r="K107" s="118"/>
      <c r="L107" s="118"/>
      <c r="M107" s="119"/>
    </row>
    <row r="108" spans="3:13" ht="27" customHeight="1" x14ac:dyDescent="0.25"/>
    <row r="109" spans="3:13" ht="27" customHeight="1" x14ac:dyDescent="0.25"/>
    <row r="110" spans="3:13" ht="27" customHeight="1" x14ac:dyDescent="0.25"/>
    <row r="111" spans="3:13" ht="27" customHeight="1" x14ac:dyDescent="0.25"/>
    <row r="112" spans="3:13" ht="27" customHeight="1" x14ac:dyDescent="0.25"/>
    <row r="113" ht="27" customHeight="1" x14ac:dyDescent="0.25"/>
    <row r="114" ht="27" customHeight="1" x14ac:dyDescent="0.25"/>
    <row r="115" ht="27" customHeight="1" x14ac:dyDescent="0.25"/>
    <row r="116" ht="27" customHeight="1" x14ac:dyDescent="0.25"/>
    <row r="117" ht="27" customHeight="1" x14ac:dyDescent="0.25"/>
    <row r="118" ht="27" customHeight="1" x14ac:dyDescent="0.25"/>
  </sheetData>
  <sheetProtection algorithmName="SHA-512" hashValue="2N/G9LGZVDQvYtNySJW5b7wWyTOLEFWSnLXTzozIpmjhBbOuAUuaUoDblrn2rtBi5zKpcoBBvszlK8eEsxoL/Q==" saltValue="xAJycoC2Ntm+J6wU2kb7rg==" spinCount="100000" sheet="1" selectLockedCells="1"/>
  <mergeCells count="53">
    <mergeCell ref="E100:J104"/>
    <mergeCell ref="C57:M57"/>
    <mergeCell ref="C69:M69"/>
    <mergeCell ref="J85:K85"/>
    <mergeCell ref="J86:K86"/>
    <mergeCell ref="C82:D82"/>
    <mergeCell ref="I97:M97"/>
    <mergeCell ref="J83:K83"/>
    <mergeCell ref="J84:K84"/>
    <mergeCell ref="K100:M100"/>
    <mergeCell ref="C90:M90"/>
    <mergeCell ref="J82:L82"/>
    <mergeCell ref="C107:D107"/>
    <mergeCell ref="J107:M107"/>
    <mergeCell ref="C100:D100"/>
    <mergeCell ref="C91:M91"/>
    <mergeCell ref="C98:M98"/>
    <mergeCell ref="C99:M99"/>
    <mergeCell ref="I92:M92"/>
    <mergeCell ref="I93:M93"/>
    <mergeCell ref="I94:M94"/>
    <mergeCell ref="I95:M95"/>
    <mergeCell ref="I96:M96"/>
    <mergeCell ref="K101:M101"/>
    <mergeCell ref="C106:M106"/>
    <mergeCell ref="K102:M102"/>
    <mergeCell ref="K103:M103"/>
    <mergeCell ref="C36:M36"/>
    <mergeCell ref="K19:M19"/>
    <mergeCell ref="C22:M22"/>
    <mergeCell ref="D23:M23"/>
    <mergeCell ref="D24:M24"/>
    <mergeCell ref="D25:M25"/>
    <mergeCell ref="D26:M26"/>
    <mergeCell ref="C29:M29"/>
    <mergeCell ref="D30:M30"/>
    <mergeCell ref="G32:K32"/>
    <mergeCell ref="D33:M33"/>
    <mergeCell ref="E16:J19"/>
    <mergeCell ref="D27:M27"/>
    <mergeCell ref="C28:M28"/>
    <mergeCell ref="C34:M35"/>
    <mergeCell ref="C12:M12"/>
    <mergeCell ref="B15:B27"/>
    <mergeCell ref="C15:M15"/>
    <mergeCell ref="C16:D16"/>
    <mergeCell ref="K16:M16"/>
    <mergeCell ref="C17:D17"/>
    <mergeCell ref="K17:M17"/>
    <mergeCell ref="C18:D18"/>
    <mergeCell ref="K18:M18"/>
    <mergeCell ref="C19:D19"/>
    <mergeCell ref="C20:M21"/>
  </mergeCells>
  <dataValidations count="2">
    <dataValidation type="whole" showInputMessage="1" showErrorMessage="1" sqref="I38:I40 I59:I61 I71:I73">
      <formula1>0</formula1>
      <formula2>50</formula2>
    </dataValidation>
    <dataValidation type="whole" showInputMessage="1" showErrorMessage="1" sqref="J38:J40 J59:J61 J71:J73">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3"/>
  <sheetViews>
    <sheetView workbookViewId="0">
      <selection activeCell="B7" sqref="B7"/>
    </sheetView>
  </sheetViews>
  <sheetFormatPr defaultRowHeight="15" x14ac:dyDescent="0.25"/>
  <cols>
    <col min="1" max="1" width="27.5703125" style="24" customWidth="1"/>
    <col min="2" max="2" width="54.85546875" style="24" customWidth="1"/>
    <col min="3" max="3" width="14" style="24" customWidth="1"/>
    <col min="4" max="16384" width="9.140625" style="24"/>
  </cols>
  <sheetData>
    <row r="1" spans="1:3" x14ac:dyDescent="0.25">
      <c r="A1" s="37" t="s">
        <v>46</v>
      </c>
      <c r="B1" s="37" t="s">
        <v>47</v>
      </c>
      <c r="C1" s="24" t="s">
        <v>48</v>
      </c>
    </row>
    <row r="2" spans="1:3" x14ac:dyDescent="0.25">
      <c r="A2" s="24" t="s">
        <v>106</v>
      </c>
      <c r="B2" s="24" t="s">
        <v>107</v>
      </c>
      <c r="C2" s="38">
        <v>5725.88</v>
      </c>
    </row>
    <row r="3" spans="1:3" x14ac:dyDescent="0.25">
      <c r="A3" s="24" t="s">
        <v>108</v>
      </c>
      <c r="B3" s="24" t="s">
        <v>109</v>
      </c>
      <c r="C3" s="38">
        <v>5855.47</v>
      </c>
    </row>
    <row r="4" spans="1:3" x14ac:dyDescent="0.25">
      <c r="A4" s="24" t="s">
        <v>110</v>
      </c>
      <c r="B4" s="24" t="s">
        <v>111</v>
      </c>
      <c r="C4" s="38">
        <v>6396.34</v>
      </c>
    </row>
    <row r="5" spans="1:3" x14ac:dyDescent="0.25">
      <c r="A5" s="24" t="s">
        <v>112</v>
      </c>
      <c r="B5" s="24" t="s">
        <v>113</v>
      </c>
      <c r="C5" s="38">
        <v>6561.23</v>
      </c>
    </row>
    <row r="6" spans="1:3" x14ac:dyDescent="0.25">
      <c r="A6" s="24" t="s">
        <v>114</v>
      </c>
      <c r="B6" s="24" t="s">
        <v>115</v>
      </c>
      <c r="C6" s="38">
        <v>7230.39</v>
      </c>
    </row>
    <row r="7" spans="1:3" x14ac:dyDescent="0.25">
      <c r="A7" s="24" t="s">
        <v>116</v>
      </c>
      <c r="B7" s="24" t="s">
        <v>117</v>
      </c>
      <c r="C7" s="38">
        <v>7788.02</v>
      </c>
    </row>
    <row r="8" spans="1:3" x14ac:dyDescent="0.25">
      <c r="A8" s="24" t="s">
        <v>118</v>
      </c>
      <c r="B8" s="24" t="s">
        <v>119</v>
      </c>
      <c r="C8" s="38">
        <v>6765.19</v>
      </c>
    </row>
    <row r="9" spans="1:3" x14ac:dyDescent="0.25">
      <c r="A9" s="24" t="s">
        <v>120</v>
      </c>
      <c r="B9" s="24" t="s">
        <v>121</v>
      </c>
      <c r="C9" s="38">
        <v>7479.59</v>
      </c>
    </row>
    <row r="10" spans="1:3" x14ac:dyDescent="0.25">
      <c r="A10" s="24" t="s">
        <v>122</v>
      </c>
      <c r="B10" s="24" t="s">
        <v>123</v>
      </c>
      <c r="C10" s="38">
        <v>9070.7000000000007</v>
      </c>
    </row>
    <row r="11" spans="1:3" x14ac:dyDescent="0.25">
      <c r="A11" s="24" t="s">
        <v>124</v>
      </c>
      <c r="B11" s="24" t="s">
        <v>125</v>
      </c>
      <c r="C11" s="38">
        <v>9432.31</v>
      </c>
    </row>
    <row r="12" spans="1:3" x14ac:dyDescent="0.25">
      <c r="C12" s="38"/>
    </row>
    <row r="13" spans="1:3" x14ac:dyDescent="0.25">
      <c r="C13" s="38"/>
    </row>
    <row r="14" spans="1:3" x14ac:dyDescent="0.25">
      <c r="C14" s="38"/>
    </row>
    <row r="15" spans="1:3" x14ac:dyDescent="0.25">
      <c r="C15" s="38"/>
    </row>
    <row r="16" spans="1:3" x14ac:dyDescent="0.25">
      <c r="C16" s="38"/>
    </row>
    <row r="17" spans="3:3" x14ac:dyDescent="0.25">
      <c r="C17" s="38"/>
    </row>
    <row r="18" spans="3:3" x14ac:dyDescent="0.25">
      <c r="C18" s="38"/>
    </row>
    <row r="19" spans="3:3" x14ac:dyDescent="0.25">
      <c r="C19" s="38"/>
    </row>
    <row r="20" spans="3:3" x14ac:dyDescent="0.25">
      <c r="C20" s="38"/>
    </row>
    <row r="21" spans="3:3" x14ac:dyDescent="0.25">
      <c r="C21" s="38"/>
    </row>
    <row r="22" spans="3:3" x14ac:dyDescent="0.25">
      <c r="C22" s="38"/>
    </row>
    <row r="23" spans="3:3" x14ac:dyDescent="0.25">
      <c r="C23" s="38"/>
    </row>
    <row r="24" spans="3:3" x14ac:dyDescent="0.25">
      <c r="C24" s="38"/>
    </row>
    <row r="25" spans="3:3" x14ac:dyDescent="0.25">
      <c r="C25" s="38"/>
    </row>
    <row r="26" spans="3:3" x14ac:dyDescent="0.25">
      <c r="C26" s="38"/>
    </row>
    <row r="27" spans="3:3" x14ac:dyDescent="0.25">
      <c r="C27" s="38"/>
    </row>
    <row r="28" spans="3:3" x14ac:dyDescent="0.25">
      <c r="C28" s="38"/>
    </row>
    <row r="29" spans="3:3" x14ac:dyDescent="0.25">
      <c r="C29" s="38"/>
    </row>
    <row r="30" spans="3:3" x14ac:dyDescent="0.25">
      <c r="C30" s="38"/>
    </row>
    <row r="31" spans="3:3" x14ac:dyDescent="0.25">
      <c r="C31" s="38"/>
    </row>
    <row r="32" spans="3:3" x14ac:dyDescent="0.25">
      <c r="C32" s="38"/>
    </row>
    <row r="33" spans="3:3" x14ac:dyDescent="0.25">
      <c r="C33" s="38"/>
    </row>
    <row r="34" spans="3:3" x14ac:dyDescent="0.25">
      <c r="C34" s="38"/>
    </row>
    <row r="35" spans="3:3" x14ac:dyDescent="0.25">
      <c r="C35" s="38"/>
    </row>
    <row r="36" spans="3:3" x14ac:dyDescent="0.25">
      <c r="C36" s="38"/>
    </row>
    <row r="37" spans="3:3" x14ac:dyDescent="0.25">
      <c r="C37" s="38"/>
    </row>
    <row r="38" spans="3:3" x14ac:dyDescent="0.25">
      <c r="C38" s="38"/>
    </row>
    <row r="39" spans="3:3" x14ac:dyDescent="0.25">
      <c r="C39" s="38"/>
    </row>
    <row r="40" spans="3:3" x14ac:dyDescent="0.25">
      <c r="C40" s="38"/>
    </row>
    <row r="41" spans="3:3" x14ac:dyDescent="0.25">
      <c r="C41" s="38"/>
    </row>
    <row r="42" spans="3:3" x14ac:dyDescent="0.25">
      <c r="C42" s="38"/>
    </row>
    <row r="43" spans="3:3" x14ac:dyDescent="0.25">
      <c r="C43" s="38"/>
    </row>
    <row r="44" spans="3:3" x14ac:dyDescent="0.25">
      <c r="C44" s="38"/>
    </row>
    <row r="45" spans="3:3" x14ac:dyDescent="0.25">
      <c r="C45" s="38"/>
    </row>
    <row r="46" spans="3:3" x14ac:dyDescent="0.25">
      <c r="C46" s="38"/>
    </row>
    <row r="47" spans="3:3" x14ac:dyDescent="0.25">
      <c r="C47" s="38"/>
    </row>
    <row r="48" spans="3:3" x14ac:dyDescent="0.25">
      <c r="C48" s="38"/>
    </row>
    <row r="49" spans="3:3" x14ac:dyDescent="0.25">
      <c r="C49" s="38"/>
    </row>
    <row r="50" spans="3:3" x14ac:dyDescent="0.25">
      <c r="C50" s="38"/>
    </row>
    <row r="51" spans="3:3" x14ac:dyDescent="0.25">
      <c r="C51" s="38"/>
    </row>
    <row r="52" spans="3:3" x14ac:dyDescent="0.25">
      <c r="C52" s="38"/>
    </row>
    <row r="53" spans="3:3" x14ac:dyDescent="0.25">
      <c r="C53" s="38"/>
    </row>
    <row r="54" spans="3:3" x14ac:dyDescent="0.25">
      <c r="C54" s="38"/>
    </row>
    <row r="55" spans="3:3" x14ac:dyDescent="0.25">
      <c r="C55" s="38"/>
    </row>
    <row r="56" spans="3:3" x14ac:dyDescent="0.25">
      <c r="C56" s="38"/>
    </row>
    <row r="57" spans="3:3" x14ac:dyDescent="0.25">
      <c r="C57" s="38"/>
    </row>
    <row r="58" spans="3:3" x14ac:dyDescent="0.25">
      <c r="C58" s="38"/>
    </row>
    <row r="59" spans="3:3" x14ac:dyDescent="0.25">
      <c r="C59" s="38"/>
    </row>
    <row r="60" spans="3:3" x14ac:dyDescent="0.25">
      <c r="C60" s="38"/>
    </row>
    <row r="61" spans="3:3" x14ac:dyDescent="0.25">
      <c r="C61" s="38"/>
    </row>
    <row r="62" spans="3:3" x14ac:dyDescent="0.25">
      <c r="C62" s="38"/>
    </row>
    <row r="63" spans="3:3" x14ac:dyDescent="0.25">
      <c r="C63" s="38"/>
    </row>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
  <sheetViews>
    <sheetView workbookViewId="0">
      <selection activeCell="B5" sqref="B5"/>
    </sheetView>
  </sheetViews>
  <sheetFormatPr defaultRowHeight="15" x14ac:dyDescent="0.25"/>
  <cols>
    <col min="1" max="1" width="11.140625" bestFit="1" customWidth="1"/>
    <col min="2" max="2" width="46.28515625" bestFit="1" customWidth="1"/>
    <col min="3" max="3" width="13.7109375" customWidth="1"/>
  </cols>
  <sheetData>
    <row r="1" spans="1:3" x14ac:dyDescent="0.25">
      <c r="A1" t="s">
        <v>155</v>
      </c>
      <c r="B1" t="s">
        <v>156</v>
      </c>
      <c r="C1" t="s">
        <v>48</v>
      </c>
    </row>
    <row r="2" spans="1:3" x14ac:dyDescent="0.25">
      <c r="A2" t="s">
        <v>126</v>
      </c>
      <c r="B2" t="s">
        <v>127</v>
      </c>
      <c r="C2" s="66">
        <v>6286.48</v>
      </c>
    </row>
    <row r="3" spans="1:3" x14ac:dyDescent="0.25">
      <c r="A3" t="s">
        <v>128</v>
      </c>
      <c r="B3" t="s">
        <v>129</v>
      </c>
      <c r="C3" s="66">
        <v>6519.41</v>
      </c>
    </row>
    <row r="4" spans="1:3" x14ac:dyDescent="0.25">
      <c r="A4" t="s">
        <v>130</v>
      </c>
      <c r="B4" t="s">
        <v>131</v>
      </c>
      <c r="C4" s="66">
        <v>7491.63</v>
      </c>
    </row>
    <row r="5" spans="1:3" x14ac:dyDescent="0.25">
      <c r="A5" t="s">
        <v>132</v>
      </c>
      <c r="B5" t="s">
        <v>133</v>
      </c>
      <c r="C5" s="66">
        <v>7788.02</v>
      </c>
    </row>
    <row r="6" spans="1:3" x14ac:dyDescent="0.25">
      <c r="A6" t="s">
        <v>134</v>
      </c>
      <c r="B6" t="s">
        <v>135</v>
      </c>
      <c r="C6" s="66">
        <v>8990.83</v>
      </c>
    </row>
    <row r="7" spans="1:3" x14ac:dyDescent="0.25">
      <c r="A7" t="s">
        <v>134</v>
      </c>
      <c r="B7" t="s">
        <v>136</v>
      </c>
      <c r="C7" s="66">
        <v>9993.17</v>
      </c>
    </row>
    <row r="8" spans="1:3" x14ac:dyDescent="0.25">
      <c r="A8" t="s">
        <v>137</v>
      </c>
      <c r="B8" t="s">
        <v>138</v>
      </c>
      <c r="C8" s="66">
        <v>8154.63</v>
      </c>
    </row>
    <row r="9" spans="1:3" x14ac:dyDescent="0.25">
      <c r="A9" t="s">
        <v>139</v>
      </c>
      <c r="B9" t="s">
        <v>140</v>
      </c>
      <c r="C9" s="66">
        <v>9438.77</v>
      </c>
    </row>
    <row r="10" spans="1:3" x14ac:dyDescent="0.25">
      <c r="A10" t="s">
        <v>141</v>
      </c>
      <c r="B10" t="s">
        <v>142</v>
      </c>
      <c r="C10" s="66">
        <v>12298.77</v>
      </c>
    </row>
    <row r="11" spans="1:3" x14ac:dyDescent="0.25">
      <c r="A11" t="s">
        <v>143</v>
      </c>
      <c r="B11" t="s">
        <v>144</v>
      </c>
      <c r="C11" s="66">
        <v>12948.77</v>
      </c>
    </row>
    <row r="12" spans="1:3" x14ac:dyDescent="0.25">
      <c r="A12" t="s">
        <v>145</v>
      </c>
      <c r="B12" t="s">
        <v>127</v>
      </c>
      <c r="C12" s="66">
        <v>7857.5</v>
      </c>
    </row>
    <row r="13" spans="1:3" x14ac:dyDescent="0.25">
      <c r="A13" t="s">
        <v>146</v>
      </c>
      <c r="B13" t="s">
        <v>129</v>
      </c>
      <c r="C13" s="66">
        <v>8149.26</v>
      </c>
    </row>
    <row r="14" spans="1:3" x14ac:dyDescent="0.25">
      <c r="A14" t="s">
        <v>147</v>
      </c>
      <c r="B14" t="s">
        <v>131</v>
      </c>
      <c r="C14" s="66">
        <v>9364.5300000000007</v>
      </c>
    </row>
    <row r="15" spans="1:3" x14ac:dyDescent="0.25">
      <c r="A15" t="s">
        <v>148</v>
      </c>
      <c r="B15" t="s">
        <v>133</v>
      </c>
      <c r="C15" s="66">
        <v>9735</v>
      </c>
    </row>
    <row r="16" spans="1:3" x14ac:dyDescent="0.25">
      <c r="A16" t="s">
        <v>149</v>
      </c>
      <c r="B16" t="s">
        <v>135</v>
      </c>
      <c r="C16" s="66">
        <v>11237.5</v>
      </c>
    </row>
    <row r="17" spans="1:3" x14ac:dyDescent="0.25">
      <c r="A17" t="s">
        <v>150</v>
      </c>
      <c r="B17" t="s">
        <v>136</v>
      </c>
      <c r="C17" s="66">
        <v>12491.25</v>
      </c>
    </row>
    <row r="18" spans="1:3" x14ac:dyDescent="0.25">
      <c r="A18" t="s">
        <v>151</v>
      </c>
      <c r="B18" t="s">
        <v>138</v>
      </c>
      <c r="C18" s="66">
        <v>10192.549999999999</v>
      </c>
    </row>
    <row r="19" spans="1:3" x14ac:dyDescent="0.25">
      <c r="A19" t="s">
        <v>152</v>
      </c>
      <c r="B19" t="s">
        <v>140</v>
      </c>
      <c r="C19" s="66">
        <v>11798.46</v>
      </c>
    </row>
    <row r="20" spans="1:3" x14ac:dyDescent="0.25">
      <c r="A20" t="s">
        <v>153</v>
      </c>
      <c r="B20" t="s">
        <v>142</v>
      </c>
      <c r="C20" s="66">
        <v>15372.5</v>
      </c>
    </row>
    <row r="21" spans="1:3" x14ac:dyDescent="0.25">
      <c r="A21" t="s">
        <v>154</v>
      </c>
      <c r="B21" t="s">
        <v>144</v>
      </c>
      <c r="C21" s="66">
        <v>16185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vt:i4>
      </vt:variant>
      <vt:variant>
        <vt:lpstr>Adlandırılmış Aralıklar</vt:lpstr>
      </vt:variant>
      <vt:variant>
        <vt:i4>1</vt:i4>
      </vt:variant>
    </vt:vector>
  </HeadingPairs>
  <TitlesOfParts>
    <vt:vector size="5" baseType="lpstr">
      <vt:lpstr>1</vt:lpstr>
      <vt:lpstr>MutfakGrubu</vt:lpstr>
      <vt:lpstr>PortmantoGrubu</vt:lpstr>
      <vt:lpstr>BanyoGrubu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2026-03-13T20:23:03Z</dcterms:modified>
</cp:coreProperties>
</file>