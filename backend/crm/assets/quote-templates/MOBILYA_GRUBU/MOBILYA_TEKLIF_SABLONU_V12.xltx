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MutfakGrubu" sheetId="2" state="visible" r:id="rId2"/>
    <sheet xmlns:r="http://schemas.openxmlformats.org/officeDocument/2006/relationships" name="PortmantoGrubu" sheetId="3" state="visible" r:id="rId3"/>
    <sheet xmlns:r="http://schemas.openxmlformats.org/officeDocument/2006/relationships" name="BanyoGrubu" sheetId="4" state="visible" r:id="rId4"/>
  </sheets>
  <definedNames>
    <definedName name="_xlnm.Print_Area" localSheetId="0">'1'!$A$1:$M$147</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color rgb="FF000066"/>
      <sz val="18"/>
    </font>
    <font>
      <name val="Calibri"/>
      <family val="2"/>
      <color theme="1"/>
      <sz val="12"/>
      <scheme val="minor"/>
    </font>
    <font>
      <name val="Times New Roman"/>
      <charset val="162"/>
      <family val="1"/>
      <color rgb="FF000066"/>
      <sz val="18"/>
    </font>
  </fonts>
  <fills count="3">
    <fill>
      <patternFill/>
    </fill>
    <fill>
      <patternFill patternType="gray125"/>
    </fill>
    <fill>
      <patternFill patternType="solid">
        <fgColor theme="8" tint="-0.499984740745262"/>
        <bgColor indexed="64"/>
      </patternFill>
    </fill>
  </fills>
  <borders count="34">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bottom/>
    </border>
  </borders>
  <cellStyleXfs count="2">
    <xf numFmtId="0" fontId="1" fillId="0" borderId="0"/>
    <xf numFmtId="44" fontId="1" fillId="0" borderId="0"/>
  </cellStyleXfs>
  <cellXfs count="201">
    <xf numFmtId="0" fontId="0" fillId="0" borderId="0" pivotButton="0" quotePrefix="0" xfId="0"/>
    <xf numFmtId="0" fontId="0" fillId="0" borderId="0" applyProtection="1" pivotButton="0" quotePrefix="0" xfId="0">
      <protection locked="0" hidden="0"/>
    </xf>
    <xf numFmtId="0" fontId="20" fillId="0" borderId="0" applyAlignment="1" applyProtection="1" pivotButton="0" quotePrefix="0" xfId="0">
      <alignment vertical="center" wrapText="1"/>
      <protection locked="0" hidden="0"/>
    </xf>
    <xf numFmtId="0" fontId="18" fillId="0" borderId="24" applyAlignment="1" applyProtection="1" pivotButton="0" quotePrefix="0" xfId="0">
      <alignment vertical="center"/>
      <protection locked="0" hidden="0"/>
    </xf>
    <xf numFmtId="0" fontId="18" fillId="0" borderId="12" applyAlignment="1" applyProtection="1" pivotButton="0" quotePrefix="0" xfId="0">
      <alignment vertical="center"/>
      <protection locked="0" hidden="0"/>
    </xf>
    <xf numFmtId="0" fontId="18" fillId="0" borderId="25" applyAlignment="1" applyProtection="1" pivotButton="0" quotePrefix="0" xfId="0">
      <alignment vertical="center"/>
      <protection locked="0" hidden="0"/>
    </xf>
    <xf numFmtId="0" fontId="18" fillId="0" borderId="16" applyAlignment="1" applyProtection="1" pivotButton="0" quotePrefix="0" xfId="0">
      <alignment vertical="center"/>
      <protection locked="0" hidden="0"/>
    </xf>
    <xf numFmtId="0" fontId="18"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0" fontId="10" fillId="0" borderId="4" pivotButton="0" quotePrefix="0" xfId="0"/>
    <xf numFmtId="0" fontId="10" fillId="0" borderId="5" pivotButton="0" quotePrefix="0" xfId="0"/>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8" fillId="0" borderId="16"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2" fillId="0" borderId="28" applyAlignment="1" pivotButton="0" quotePrefix="0" xfId="0">
      <alignment horizontal="center" vertical="center"/>
    </xf>
    <xf numFmtId="0" fontId="22" fillId="0" borderId="26" applyAlignment="1" pivotButton="0" quotePrefix="0" xfId="0">
      <alignment horizontal="center" vertical="center"/>
    </xf>
    <xf numFmtId="0" fontId="22" fillId="0" borderId="27" applyAlignment="1" pivotButton="0" quotePrefix="0" xfId="0">
      <alignment horizontal="center" vertical="center"/>
    </xf>
    <xf numFmtId="0" fontId="23" fillId="0" borderId="1" applyProtection="1" pivotButton="0" quotePrefix="0" xfId="0">
      <protection locked="0" hidden="0"/>
    </xf>
    <xf numFmtId="0" fontId="23" fillId="0" borderId="11" applyProtection="1" pivotButton="0" quotePrefix="0" xfId="0">
      <protection locked="0" hidden="0"/>
    </xf>
    <xf numFmtId="164" fontId="13" fillId="0" borderId="29"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5" fillId="0" borderId="0"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4" applyAlignment="1" pivotButton="0" quotePrefix="0" xfId="0">
      <alignment horizontal="center" vertical="center"/>
    </xf>
    <xf numFmtId="0" fontId="20" fillId="0" borderId="0" applyAlignment="1" applyProtection="1" pivotButton="0" quotePrefix="0" xfId="0">
      <alignment horizontal="center" vertical="center" wrapText="1"/>
      <protection locked="0" hidden="0"/>
    </xf>
    <xf numFmtId="0" fontId="21" fillId="0" borderId="0" applyProtection="1" pivotButton="0" quotePrefix="0" xfId="0">
      <protection locked="0" hidden="0"/>
    </xf>
    <xf numFmtId="0" fontId="6" fillId="0" borderId="0" applyProtection="1" pivotButton="0" quotePrefix="0" xfId="0">
      <protection locked="0" hidden="0"/>
    </xf>
    <xf numFmtId="0" fontId="16" fillId="0" borderId="0" applyProtection="1" pivotButton="0" quotePrefix="0" xfId="0">
      <protection locked="0" hidden="0"/>
    </xf>
    <xf numFmtId="0" fontId="25" fillId="0" borderId="0" applyProtection="1" pivotButton="0" quotePrefix="0" xfId="0">
      <protection locked="0" hidden="0"/>
    </xf>
    <xf numFmtId="0" fontId="18" fillId="0" borderId="15" applyAlignment="1" applyProtection="1" pivotButton="0" quotePrefix="0" xfId="0">
      <alignment vertical="center"/>
      <protection locked="0" hidden="0"/>
    </xf>
    <xf numFmtId="0" fontId="12" fillId="0" borderId="7" applyAlignment="1" applyProtection="1" pivotButton="0" quotePrefix="0" xfId="0">
      <alignment horizontal="left" vertical="center"/>
      <protection locked="0" hidden="0"/>
    </xf>
    <xf numFmtId="164" fontId="12" fillId="0" borderId="7" applyAlignment="1" applyProtection="1" pivotButton="0" quotePrefix="0" xfId="1">
      <alignment horizontal="center" vertical="center"/>
      <protection locked="0" hidden="0"/>
    </xf>
    <xf numFmtId="0" fontId="10" fillId="0" borderId="7" applyAlignment="1" applyProtection="1" pivotButton="0" quotePrefix="0" xfId="0">
      <alignment horizontal="center" vertical="center"/>
      <protection locked="0" hidden="0"/>
    </xf>
    <xf numFmtId="164" fontId="0" fillId="0" borderId="0" pivotButton="0" quotePrefix="0" xfId="1"/>
    <xf numFmtId="164" fontId="13" fillId="0" borderId="26" applyAlignment="1" pivotButton="0" quotePrefix="0" xfId="0">
      <alignment horizontal="right"/>
    </xf>
    <xf numFmtId="164" fontId="13" fillId="0" borderId="30" applyAlignment="1" pivotButton="0" quotePrefix="0" xfId="0">
      <alignment horizontal="right"/>
    </xf>
    <xf numFmtId="164" fontId="13" fillId="0" borderId="10" applyAlignment="1" pivotButton="0" quotePrefix="0" xfId="0">
      <alignment horizontal="right"/>
    </xf>
    <xf numFmtId="0" fontId="26" fillId="0" borderId="0" pivotButton="0" quotePrefix="0" xfId="0"/>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0"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5" fillId="0" borderId="6" applyAlignment="1" applyProtection="1" pivotButton="0" quotePrefix="0" xfId="0">
      <alignment horizontal="center" vertical="center"/>
      <protection locked="0" hidden="0"/>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8" fillId="0" borderId="3" applyAlignment="1" applyProtection="1" pivotButton="0" quotePrefix="0" xfId="0">
      <alignment horizontal="left"/>
      <protection locked="0" hidden="0"/>
    </xf>
    <xf numFmtId="0" fontId="18" fillId="0" borderId="2" applyAlignment="1" applyProtection="1" pivotButton="0" quotePrefix="0" xfId="0">
      <alignment horizontal="left"/>
      <protection locked="0" hidden="0"/>
    </xf>
    <xf numFmtId="0" fontId="18" fillId="0" borderId="13" applyAlignment="1" applyProtection="1" pivotButton="0" quotePrefix="0" xfId="0">
      <alignment horizontal="left"/>
      <protection locked="0" hidden="0"/>
    </xf>
    <xf numFmtId="0" fontId="18" fillId="0" borderId="4" applyAlignment="1" applyProtection="1" pivotButton="0" quotePrefix="0" xfId="0">
      <alignment horizontal="left"/>
      <protection locked="0" hidden="0"/>
    </xf>
    <xf numFmtId="0" fontId="18" fillId="0" borderId="0" applyAlignment="1" applyProtection="1" pivotButton="0" quotePrefix="0" xfId="0">
      <alignment horizontal="left"/>
      <protection locked="0" hidden="0"/>
    </xf>
    <xf numFmtId="0" fontId="18" fillId="0" borderId="1"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18" fillId="0" borderId="21" applyAlignment="1" pivotButton="0" quotePrefix="0" xfId="0">
      <alignment horizontal="center" vertical="center"/>
    </xf>
    <xf numFmtId="0" fontId="18" fillId="0" borderId="22" applyAlignment="1" pivotButton="0" quotePrefix="0" xfId="0">
      <alignment horizontal="center" vertical="center"/>
    </xf>
    <xf numFmtId="0" fontId="18" fillId="0" borderId="23" applyAlignment="1" pivotButton="0" quotePrefix="0" xfId="0">
      <alignment horizontal="center" vertical="center"/>
    </xf>
    <xf numFmtId="0" fontId="18" fillId="0" borderId="12" applyAlignment="1" applyProtection="1" pivotButton="0" quotePrefix="0" xfId="0">
      <alignment horizontal="left" vertical="center"/>
      <protection locked="0" hidden="0"/>
    </xf>
    <xf numFmtId="0" fontId="18" fillId="0" borderId="18" applyAlignment="1" applyProtection="1" pivotButton="0" quotePrefix="0" xfId="0">
      <alignment horizontal="left" vertical="center"/>
      <protection locked="0" hidden="0"/>
    </xf>
    <xf numFmtId="0" fontId="18" fillId="0" borderId="19" applyAlignment="1" applyProtection="1" pivotButton="0" quotePrefix="0" xfId="0">
      <alignment horizontal="left" vertical="center"/>
      <protection locked="0" hidden="0"/>
    </xf>
    <xf numFmtId="0" fontId="18"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8" fillId="0" borderId="5" applyAlignment="1" applyProtection="1" pivotButton="0" quotePrefix="0" xfId="0">
      <alignment horizontal="left"/>
      <protection locked="0" hidden="0"/>
    </xf>
    <xf numFmtId="0" fontId="18" fillId="0" borderId="6" applyAlignment="1" applyProtection="1" pivotButton="0" quotePrefix="0" xfId="0">
      <alignment horizontal="left"/>
      <protection locked="0" hidden="0"/>
    </xf>
    <xf numFmtId="0" fontId="18" fillId="0" borderId="11" applyAlignment="1" applyProtection="1" pivotButton="0" quotePrefix="0" xfId="0">
      <alignment horizontal="left"/>
      <protection locked="0" hidden="0"/>
    </xf>
    <xf numFmtId="0" fontId="5" fillId="0" borderId="14" applyAlignment="1" applyProtection="1" pivotButton="0" quotePrefix="0" xfId="0">
      <alignment horizontal="center" vertical="center"/>
      <protection locked="0" hidden="0"/>
    </xf>
    <xf numFmtId="0" fontId="17" fillId="0" borderId="8" applyAlignment="1" pivotButton="0" quotePrefix="0" xfId="0">
      <alignment horizontal="center" vertical="center"/>
    </xf>
    <xf numFmtId="0" fontId="17" fillId="0" borderId="14" applyAlignment="1" pivotButton="0" quotePrefix="0" xfId="0">
      <alignment horizontal="center" vertical="center"/>
    </xf>
    <xf numFmtId="0" fontId="17" fillId="0" borderId="9" applyAlignment="1" pivotButton="0" quotePrefix="0" xfId="0">
      <alignment horizontal="center" vertical="center"/>
    </xf>
    <xf numFmtId="0" fontId="17" fillId="0" borderId="3" applyAlignment="1" pivotButton="0" quotePrefix="0" xfId="0">
      <alignment horizontal="center" vertical="center"/>
    </xf>
    <xf numFmtId="0" fontId="17" fillId="0" borderId="13" applyAlignment="1" pivotButton="0" quotePrefix="0" xfId="0">
      <alignment horizontal="center" vertical="center"/>
    </xf>
    <xf numFmtId="0" fontId="0" fillId="0" borderId="0" applyAlignment="1" pivotButton="0" quotePrefix="0" xfId="0">
      <alignment horizontal="center"/>
    </xf>
    <xf numFmtId="0" fontId="24" fillId="0" borderId="0" applyAlignment="1" pivotButton="0" quotePrefix="0" xfId="0">
      <alignment horizontal="left"/>
    </xf>
    <xf numFmtId="0" fontId="22" fillId="0" borderId="0" applyAlignment="1" applyProtection="1" pivotButton="0" quotePrefix="0" xfId="0">
      <alignment horizontal="left"/>
      <protection locked="0" hidden="0"/>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13" fillId="0" borderId="18" applyAlignment="1" pivotButton="0" quotePrefix="0" xfId="0">
      <alignment horizontal="center"/>
    </xf>
    <xf numFmtId="0" fontId="13" fillId="0" borderId="20" applyAlignment="1" pivotButton="0" quotePrefix="0" xfId="0">
      <alignment horizontal="center"/>
    </xf>
    <xf numFmtId="0" fontId="10" fillId="0" borderId="0" applyAlignment="1" applyProtection="1" pivotButton="0" quotePrefix="0" xfId="0">
      <alignment horizontal="left"/>
      <protection locked="0" hidden="0"/>
    </xf>
    <xf numFmtId="0" fontId="13" fillId="0" borderId="4" applyAlignment="1" pivotButton="0" quotePrefix="0" xfId="0">
      <alignment horizontal="center"/>
    </xf>
    <xf numFmtId="0" fontId="13" fillId="0" borderId="1" applyAlignment="1" pivotButton="0" quotePrefix="0" xfId="0">
      <alignment horizontal="center"/>
    </xf>
    <xf numFmtId="0" fontId="13" fillId="0" borderId="24" applyAlignment="1" pivotButton="0" quotePrefix="0" xfId="0">
      <alignment horizontal="center"/>
    </xf>
    <xf numFmtId="0" fontId="13" fillId="0" borderId="25" applyAlignment="1" pivotButton="0" quotePrefix="0" xfId="0">
      <alignment horizontal="center"/>
    </xf>
    <xf numFmtId="0" fontId="17" fillId="0" borderId="2" applyAlignment="1" pivotButton="0" quotePrefix="0" xfId="0">
      <alignment horizontal="center" vertical="center"/>
    </xf>
    <xf numFmtId="0" fontId="21" fillId="0" borderId="0" applyAlignment="1" pivotButton="0" quotePrefix="0" xfId="0">
      <alignment horizontal="left" vertical="center"/>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8" fillId="0" borderId="28" applyAlignment="1" applyProtection="1" pivotButton="0" quotePrefix="0" xfId="0">
      <alignment horizontal="left"/>
      <protection locked="0" hidden="0"/>
    </xf>
    <xf numFmtId="0" fontId="18" fillId="0" borderId="26"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18" fillId="0" borderId="27" applyAlignment="1" applyProtection="1" pivotButton="0" quotePrefix="0" xfId="0">
      <alignment horizontal="left"/>
      <protection locked="0" hidden="0"/>
    </xf>
    <xf numFmtId="0" fontId="0" fillId="0" borderId="14" applyProtection="1" pivotButton="0" quotePrefix="0" xfId="0">
      <protection locked="0" hidden="0"/>
    </xf>
    <xf numFmtId="0" fontId="18" fillId="0" borderId="29" applyAlignment="1" pivotButton="0" quotePrefix="0" xfId="0">
      <alignment horizontal="center" vertical="center"/>
    </xf>
    <xf numFmtId="0" fontId="0" fillId="0" borderId="22" pivotButton="0" quotePrefix="0" xfId="0"/>
    <xf numFmtId="0" fontId="0" fillId="0" borderId="23" pivotButton="0" quotePrefix="0" xfId="0"/>
    <xf numFmtId="0" fontId="18" fillId="0" borderId="33" applyAlignment="1" applyProtection="1" pivotButton="0" quotePrefix="0" xfId="0">
      <alignment vertical="center"/>
      <protection locked="0" hidden="0"/>
    </xf>
    <xf numFmtId="0" fontId="18" fillId="0" borderId="33" applyAlignment="1" applyProtection="1" pivotButton="0" quotePrefix="0" xfId="0">
      <alignment horizontal="center" vertical="center"/>
      <protection locked="0" hidden="0"/>
    </xf>
    <xf numFmtId="0" fontId="18" fillId="0" borderId="33" applyAlignment="1" applyProtection="1" pivotButton="0" quotePrefix="0" xfId="0">
      <alignment horizontal="left" vertical="center"/>
      <protection locked="0" hidden="0"/>
    </xf>
    <xf numFmtId="0" fontId="0" fillId="0" borderId="33" pivotButton="0" quotePrefix="0" xfId="0"/>
    <xf numFmtId="0" fontId="18" fillId="0" borderId="31"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21" fillId="0" borderId="33" applyProtection="1" pivotButton="0" quotePrefix="0" xfId="0">
      <protection locked="0" hidden="0"/>
    </xf>
    <xf numFmtId="0" fontId="6" fillId="0" borderId="33" applyProtection="1" pivotButton="0" quotePrefix="0" xfId="0">
      <protection locked="0" hidden="0"/>
    </xf>
    <xf numFmtId="0" fontId="3" fillId="0" borderId="33" applyProtection="1" pivotButton="0" quotePrefix="0" xfId="0">
      <protection locked="0" hidden="0"/>
    </xf>
    <xf numFmtId="0" fontId="5" fillId="0" borderId="33" applyAlignment="1" applyProtection="1" pivotButton="0" quotePrefix="0" xfId="0">
      <alignment horizontal="center" vertical="center"/>
      <protection locked="0" hidden="0"/>
    </xf>
    <xf numFmtId="0" fontId="8" fillId="0" borderId="7" pivotButton="0" quotePrefix="0" xfId="1"/>
    <xf numFmtId="0" fontId="16" fillId="0" borderId="33" applyProtection="1" pivotButton="0" quotePrefix="0" xfId="0">
      <protection locked="0" hidden="0"/>
    </xf>
    <xf numFmtId="0" fontId="6" fillId="0" borderId="7" pivotButton="0" quotePrefix="0" xfId="1"/>
    <xf numFmtId="0" fontId="4" fillId="0" borderId="33" applyProtection="1" pivotButton="0" quotePrefix="0" xfId="0">
      <protection locked="0" hidden="0"/>
    </xf>
    <xf numFmtId="164" fontId="8" fillId="0" borderId="0" applyProtection="1" pivotButton="0" quotePrefix="0" xfId="1">
      <protection locked="0" hidden="0"/>
    </xf>
    <xf numFmtId="0" fontId="12" fillId="0" borderId="7" applyAlignment="1" applyProtection="1" pivotButton="0" quotePrefix="0" xfId="1">
      <alignment horizontal="center" vertical="center"/>
      <protection locked="0" hidden="0"/>
    </xf>
    <xf numFmtId="164" fontId="14" fillId="0" borderId="0" applyProtection="1" pivotButton="0" quotePrefix="0" xfId="1">
      <protection locked="0" hidden="0"/>
    </xf>
    <xf numFmtId="0" fontId="17" fillId="0" borderId="10" applyAlignment="1" pivotButton="0" quotePrefix="0" xfId="0">
      <alignment horizontal="center" vertical="center"/>
    </xf>
    <xf numFmtId="0" fontId="13" fillId="0" borderId="26" applyAlignment="1" pivotButton="0" quotePrefix="0" xfId="0">
      <alignment horizontal="center"/>
    </xf>
    <xf numFmtId="164" fontId="13" fillId="0" borderId="29" applyAlignment="1" pivotButton="0" quotePrefix="0" xfId="0">
      <alignment horizontal="right"/>
    </xf>
    <xf numFmtId="0" fontId="13" fillId="0" borderId="32" applyAlignment="1" pivotButton="0" quotePrefix="0" xfId="0">
      <alignment horizontal="center"/>
    </xf>
    <xf numFmtId="0" fontId="0" fillId="0" borderId="25" pivotButton="0" quotePrefix="0" xfId="0"/>
    <xf numFmtId="164" fontId="13" fillId="0" borderId="26" applyAlignment="1" pivotButton="0" quotePrefix="0" xfId="0">
      <alignment horizontal="right"/>
    </xf>
    <xf numFmtId="0" fontId="13" fillId="0" borderId="31" applyAlignment="1" pivotButton="0" quotePrefix="0" xfId="0">
      <alignment horizontal="center"/>
    </xf>
    <xf numFmtId="0" fontId="0" fillId="0" borderId="20" pivotButton="0" quotePrefix="0" xfId="0"/>
    <xf numFmtId="164" fontId="13" fillId="0" borderId="30" applyAlignment="1" pivotButton="0" quotePrefix="0" xfId="0">
      <alignment horizontal="right"/>
    </xf>
    <xf numFmtId="164" fontId="13" fillId="0" borderId="10" applyAlignment="1" pivotButton="0" quotePrefix="0" xfId="0">
      <alignment horizontal="right"/>
    </xf>
    <xf numFmtId="0" fontId="17"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1728106</colOff>
      <row>137</row>
      <rowOff>136070</rowOff>
    </from>
    <to>
      <col>12</col>
      <colOff>312964</colOff>
      <row>144</row>
      <rowOff>148036</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2190749" y="42127713"/>
          <a:ext cx="16246929" cy="1345466"/>
        </a:xfrm>
        <a:prstGeom xmlns:a="http://schemas.openxmlformats.org/drawingml/2006/main" prst="rect">
          <avLst/>
        </a:prstGeom>
        <a:ln xmlns:a="http://schemas.openxmlformats.org/drawingml/2006/main">
          <a:prstDash val="solid"/>
        </a:ln>
      </spPr>
    </pic>
    <clientData/>
  </twoCellAnchor>
  <twoCellAnchor editAs="oneCell">
    <from>
      <col>2</col>
      <colOff>1850571</colOff>
      <row>49</row>
      <rowOff>122465</rowOff>
    </from>
    <to>
      <col>12</col>
      <colOff>435429</colOff>
      <row>53</row>
      <rowOff>107216</rowOff>
    </to>
    <pic>
      <nvPicPr>
        <cNvPr id="21" name="Resim 20"/>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2313214" y="15022286"/>
          <a:ext cx="16246929" cy="1345466"/>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107"/>
  <sheetViews>
    <sheetView tabSelected="1" zoomScale="70" zoomScaleNormal="70" zoomScaleSheetLayoutView="70" workbookViewId="0">
      <selection activeCell="D23" sqref="D23:M23"/>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4">
      <c r="C12" s="72" t="inlineStr">
        <is>
          <t xml:space="preserve">TEKLİF </t>
        </is>
      </c>
      <c r="M12" s="140" t="n"/>
    </row>
    <row r="13" ht="26.25" customHeight="1" s="24" thickBot="1">
      <c r="M13" s="48" t="n"/>
    </row>
    <row r="14" ht="26.25" customHeight="1" s="24" thickBot="1">
      <c r="L14" s="19" t="inlineStr">
        <is>
          <t>TARİH</t>
        </is>
      </c>
      <c r="M14" s="141">
        <f>TODAY()</f>
        <v/>
      </c>
    </row>
    <row r="15" ht="27" customHeight="1" s="24" thickBot="1">
      <c r="B15" s="73" t="inlineStr">
        <is>
          <t xml:space="preserve">TARAFLAR </t>
        </is>
      </c>
      <c r="C15" s="19" t="inlineStr">
        <is>
          <t>SATIŞ ŞİRKETİ</t>
        </is>
      </c>
      <c r="D15" s="142" t="n"/>
      <c r="E15" s="142" t="n"/>
      <c r="F15" s="142" t="n"/>
      <c r="G15" s="142" t="n"/>
      <c r="H15" s="142" t="n"/>
      <c r="I15" s="142" t="n"/>
      <c r="J15" s="142" t="n"/>
      <c r="K15" s="142" t="n"/>
      <c r="L15" s="142" t="n"/>
      <c r="M15" s="143" t="n"/>
    </row>
    <row r="16" ht="27" customHeight="1" s="24">
      <c r="B16" s="1" t="n"/>
      <c r="C16" s="144" t="inlineStr">
        <is>
          <t>ORTKA YAPI ELEMANLARI ÜRETİM SAN.LTD.ŞTİ</t>
        </is>
      </c>
      <c r="D16" s="145" t="n"/>
      <c r="E16" s="19" t="n"/>
      <c r="F16" s="146" t="n"/>
      <c r="G16" s="146" t="n"/>
      <c r="H16" s="146" t="n"/>
      <c r="I16" s="146" t="n"/>
      <c r="J16" s="147" t="n"/>
      <c r="K16" s="144" t="inlineStr">
        <is>
          <t>AYKA KAPI SANAYİ TİCARET ANONİM ŞİRKETİ</t>
        </is>
      </c>
      <c r="L16" s="148" t="n"/>
      <c r="M16" s="145" t="n"/>
    </row>
    <row r="17" ht="27" customHeight="1" s="24">
      <c r="B17" s="1" t="n"/>
      <c r="C17" s="149" t="inlineStr">
        <is>
          <t>VERGİ DAİRESİ : BEYDAĞI</t>
        </is>
      </c>
      <c r="D17" s="150" t="n"/>
      <c r="E17" s="151" t="n"/>
      <c r="J17" s="140" t="n"/>
      <c r="K17" s="149" t="inlineStr">
        <is>
          <t>VERGİ DAİRESİ : BEYDAĞI</t>
        </is>
      </c>
      <c r="L17" s="1" t="n"/>
      <c r="M17" s="150" t="n"/>
    </row>
    <row r="18" ht="27" customHeight="1" s="24">
      <c r="B18" s="1" t="n"/>
      <c r="C18" s="149" t="inlineStr">
        <is>
          <t>VERGİ NO: 6480365207</t>
        </is>
      </c>
      <c r="D18" s="150" t="n"/>
      <c r="E18" s="151" t="n"/>
      <c r="J18" s="140" t="n"/>
      <c r="K18" s="149" t="inlineStr">
        <is>
          <t>VERGİ NO: 1210461108</t>
        </is>
      </c>
      <c r="L18" s="1" t="n"/>
      <c r="M18" s="150" t="n"/>
    </row>
    <row r="19" ht="27" customHeight="1" s="24" thickBot="1">
      <c r="B19" s="1" t="n"/>
      <c r="C19" s="152" t="inlineStr">
        <is>
          <t>MAİL/TEL: muhasebe@aykakapi.com.tr / 444 0 932</t>
        </is>
      </c>
      <c r="D19" s="153" t="n"/>
      <c r="E19" s="154" t="n"/>
      <c r="F19" s="155" t="n"/>
      <c r="G19" s="155" t="n"/>
      <c r="H19" s="155" t="n"/>
      <c r="I19" s="155" t="n"/>
      <c r="J19" s="156" t="n"/>
      <c r="K19" s="152" t="inlineStr">
        <is>
          <t>MAİL/TEL: muhasebe@aykakapi.com.tr / 444 0 932</t>
        </is>
      </c>
      <c r="L19" s="157" t="n"/>
      <c r="M19" s="153" t="n"/>
    </row>
    <row r="20" ht="27" customHeight="1" s="24">
      <c r="B20" s="1" t="n"/>
      <c r="C20" s="116" t="n"/>
      <c r="D20" s="148" t="n"/>
      <c r="E20" s="148" t="n"/>
      <c r="F20" s="148" t="n"/>
      <c r="G20" s="148" t="n"/>
      <c r="H20" s="148" t="n"/>
      <c r="I20" s="148" t="n"/>
      <c r="J20" s="148" t="n"/>
      <c r="K20" s="148" t="n"/>
      <c r="L20" s="148" t="n"/>
      <c r="M20" s="148" t="n"/>
    </row>
    <row r="21" ht="27" customHeight="1" s="24" thickBot="1">
      <c r="B21" s="1" t="n"/>
      <c r="C21" s="157" t="n"/>
      <c r="D21" s="157" t="n"/>
      <c r="E21" s="157" t="n"/>
      <c r="F21" s="157" t="n"/>
      <c r="G21" s="157" t="n"/>
      <c r="H21" s="157" t="n"/>
      <c r="I21" s="157" t="n"/>
      <c r="J21" s="157" t="n"/>
      <c r="K21" s="157" t="n"/>
      <c r="L21" s="157" t="n"/>
      <c r="M21" s="157" t="n"/>
    </row>
    <row r="22" ht="27" customHeight="1" s="24" thickBot="1">
      <c r="B22" s="1" t="n"/>
      <c r="C22" s="19" t="inlineStr">
        <is>
          <t>ALICI BİLGİLERİ</t>
        </is>
      </c>
      <c r="D22" s="142" t="n"/>
      <c r="E22" s="142" t="n"/>
      <c r="F22" s="142" t="n"/>
      <c r="G22" s="142" t="n"/>
      <c r="H22" s="142" t="n"/>
      <c r="I22" s="142" t="n"/>
      <c r="J22" s="142" t="n"/>
      <c r="K22" s="142" t="n"/>
      <c r="L22" s="142" t="n"/>
      <c r="M22" s="143" t="n"/>
    </row>
    <row r="23" ht="27" customHeight="1" s="24" thickBot="1">
      <c r="B23" s="1" t="n"/>
      <c r="C23" s="19" t="inlineStr">
        <is>
          <t>CARİ ÜNVANI</t>
        </is>
      </c>
      <c r="D23" s="158" t="inlineStr"/>
      <c r="E23" s="148" t="n"/>
      <c r="F23" s="148" t="n"/>
      <c r="G23" s="148" t="n"/>
      <c r="H23" s="148" t="n"/>
      <c r="I23" s="148" t="n"/>
      <c r="J23" s="148" t="n"/>
      <c r="K23" s="148" t="n"/>
      <c r="L23" s="148" t="n"/>
      <c r="M23" s="145" t="n"/>
    </row>
    <row r="24" ht="27" customHeight="1" s="24" thickBot="1">
      <c r="B24" s="1" t="n"/>
      <c r="C24" s="49" t="inlineStr">
        <is>
          <t>VERGİ DAİRESİ / NO</t>
        </is>
      </c>
      <c r="D24" s="159" t="inlineStr"/>
      <c r="E24" s="1" t="n"/>
      <c r="F24" s="1" t="n"/>
      <c r="G24" s="1" t="n"/>
      <c r="H24" s="1" t="n"/>
      <c r="I24" s="1" t="n"/>
      <c r="J24" s="1" t="n"/>
      <c r="K24" s="1" t="n"/>
      <c r="L24" s="1" t="n"/>
      <c r="M24" s="150" t="n"/>
    </row>
    <row r="25" ht="27" customHeight="1" s="24" thickBot="1">
      <c r="B25" s="1" t="n"/>
      <c r="C25" s="19" t="inlineStr">
        <is>
          <t>ADRES</t>
        </is>
      </c>
      <c r="D25" s="160" t="inlineStr"/>
      <c r="E25" s="1" t="n"/>
      <c r="F25" s="1" t="n"/>
      <c r="G25" s="1" t="n"/>
      <c r="H25" s="1" t="n"/>
      <c r="I25" s="1" t="n"/>
      <c r="J25" s="1" t="n"/>
      <c r="K25" s="1" t="n"/>
      <c r="L25" s="1" t="n"/>
      <c r="M25" s="150" t="n"/>
    </row>
    <row r="26" ht="27" customHeight="1" s="24" thickBot="1">
      <c r="B26" s="1" t="n"/>
      <c r="C26" s="50" t="inlineStr">
        <is>
          <t>YETKİLİ</t>
        </is>
      </c>
      <c r="D26" s="159" t="inlineStr"/>
      <c r="E26" s="1" t="n"/>
      <c r="F26" s="1" t="n"/>
      <c r="G26" s="1" t="n"/>
      <c r="H26" s="1" t="n"/>
      <c r="I26" s="1" t="n"/>
      <c r="J26" s="1" t="n"/>
      <c r="K26" s="1" t="n"/>
      <c r="L26" s="1" t="n"/>
      <c r="M26" s="150" t="n"/>
    </row>
    <row r="27" ht="27" customHeight="1" s="24" thickBot="1">
      <c r="B27" s="1" t="n"/>
      <c r="C27" s="19" t="inlineStr">
        <is>
          <t>TELEFON/MAİL</t>
        </is>
      </c>
      <c r="D27" s="161" t="inlineStr"/>
      <c r="E27" s="157" t="n"/>
      <c r="F27" s="157" t="n"/>
      <c r="G27" s="157" t="n"/>
      <c r="H27" s="157" t="n"/>
      <c r="I27" s="157" t="n"/>
      <c r="J27" s="157" t="n"/>
      <c r="K27" s="157" t="n"/>
      <c r="L27" s="157" t="n"/>
      <c r="M27" s="153" t="n"/>
    </row>
    <row r="28" ht="27" customHeight="1" s="24" thickBot="1">
      <c r="B28" s="73" t="n"/>
      <c r="C28" s="116" t="n"/>
      <c r="D28" s="162" t="n"/>
      <c r="E28" s="162" t="n"/>
      <c r="F28" s="162" t="n"/>
      <c r="G28" s="162" t="n"/>
      <c r="H28" s="162" t="n"/>
      <c r="I28" s="162" t="n"/>
      <c r="J28" s="162" t="n"/>
      <c r="K28" s="162" t="n"/>
      <c r="L28" s="162" t="n"/>
      <c r="M28" s="162" t="n"/>
    </row>
    <row r="29" ht="27" customHeight="1" s="24" thickBot="1">
      <c r="B29" s="2" t="n"/>
      <c r="C29" s="19" t="inlineStr">
        <is>
          <t xml:space="preserve">SATIŞ TEMSİLCİSİ BİLGİ ALANI </t>
        </is>
      </c>
      <c r="D29" s="142" t="n"/>
      <c r="E29" s="142" t="n"/>
      <c r="F29" s="142" t="n"/>
      <c r="G29" s="142" t="n"/>
      <c r="H29" s="142" t="n"/>
      <c r="I29" s="142" t="n"/>
      <c r="J29" s="142" t="n"/>
      <c r="K29" s="142" t="n"/>
      <c r="L29" s="142" t="n"/>
      <c r="M29" s="143" t="n"/>
    </row>
    <row r="30" ht="27" customHeight="1" s="24" thickBot="1">
      <c r="B30" s="2" t="n"/>
      <c r="C30" s="74" t="inlineStr">
        <is>
          <t xml:space="preserve">TEKLİF NUMARASI </t>
        </is>
      </c>
      <c r="D30" s="163" t="inlineStr"/>
      <c r="E30" s="164" t="n"/>
      <c r="F30" s="164" t="n"/>
      <c r="G30" s="164" t="n"/>
      <c r="H30" s="164" t="n"/>
      <c r="I30" s="164" t="n"/>
      <c r="J30" s="164" t="n"/>
      <c r="K30" s="164" t="n"/>
      <c r="L30" s="164" t="n"/>
      <c r="M30" s="165" t="n"/>
    </row>
    <row r="31" ht="27" customHeight="1" s="24" thickBot="1">
      <c r="B31" s="2" t="n"/>
      <c r="C31" s="74"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4" thickBot="1">
      <c r="B32" s="2" t="n"/>
      <c r="C32" s="107"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4" thickBot="1">
      <c r="B33" s="2" t="n"/>
      <c r="C33" s="74" t="inlineStr">
        <is>
          <t xml:space="preserve"> F.LİSTESİ</t>
        </is>
      </c>
      <c r="D33" s="170" t="inlineStr"/>
      <c r="E33" s="171" t="n"/>
      <c r="F33" s="171" t="n"/>
      <c r="G33" s="171" t="n"/>
      <c r="H33" s="171" t="n"/>
      <c r="I33" s="171" t="n"/>
      <c r="J33" s="171" t="n"/>
      <c r="K33" s="171" t="n"/>
      <c r="L33" s="171" t="n"/>
      <c r="M33" s="172" t="n"/>
    </row>
    <row r="34" ht="27" customHeight="1" s="24">
      <c r="B34" s="2" t="n"/>
      <c r="C34" s="79" t="n"/>
      <c r="D34" s="148" t="n"/>
      <c r="E34" s="148" t="n"/>
      <c r="F34" s="148" t="n"/>
      <c r="G34" s="148" t="n"/>
      <c r="H34" s="148" t="n"/>
      <c r="I34" s="148" t="n"/>
      <c r="J34" s="148" t="n"/>
      <c r="K34" s="148" t="n"/>
      <c r="L34" s="148" t="n"/>
      <c r="M34" s="148" t="n"/>
    </row>
    <row r="35">
      <c r="C35" s="1" t="n"/>
      <c r="D35" s="1" t="n"/>
      <c r="E35" s="1" t="n"/>
      <c r="F35" s="1" t="n"/>
      <c r="G35" s="1" t="n"/>
      <c r="H35" s="1" t="n"/>
      <c r="I35" s="1" t="n"/>
      <c r="J35" s="1" t="n"/>
      <c r="K35" s="1" t="n"/>
      <c r="L35" s="1" t="n"/>
      <c r="M35" s="1" t="n"/>
    </row>
    <row r="36" ht="27" customHeight="1" s="24">
      <c r="C36" s="87" t="inlineStr">
        <is>
          <t xml:space="preserve">MUTFAK DOLABI </t>
        </is>
      </c>
      <c r="M36" s="140" t="n"/>
    </row>
    <row r="37" ht="27" customHeight="1" s="24">
      <c r="C37" s="20" t="inlineStr">
        <is>
          <t>Kod</t>
        </is>
      </c>
      <c r="D37" s="20" t="inlineStr">
        <is>
          <t xml:space="preserve">Satış Birimi </t>
        </is>
      </c>
      <c r="E37" s="20" t="inlineStr">
        <is>
          <t xml:space="preserve">Gövde </t>
        </is>
      </c>
      <c r="F37" s="20" t="inlineStr">
        <is>
          <t>Kapak Renk</t>
        </is>
      </c>
      <c r="G37" s="20" t="inlineStr">
        <is>
          <t>Miktar</t>
        </is>
      </c>
      <c r="H37" s="20" t="inlineStr">
        <is>
          <t xml:space="preserve">Liste Fiyatı </t>
        </is>
      </c>
      <c r="I37" s="20" t="inlineStr">
        <is>
          <t>1-İskonto %</t>
        </is>
      </c>
      <c r="J37" s="20" t="inlineStr">
        <is>
          <t>2-İskonto %</t>
        </is>
      </c>
      <c r="K37" s="20" t="inlineStr">
        <is>
          <t>Birim</t>
        </is>
      </c>
      <c r="L37" s="20" t="inlineStr">
        <is>
          <t xml:space="preserve">Birim Net Fiyatı </t>
        </is>
      </c>
      <c r="M37" s="20" t="inlineStr">
        <is>
          <t xml:space="preserve">Tutar </t>
        </is>
      </c>
    </row>
    <row r="38" ht="27" customHeight="1" s="24">
      <c r="C38" s="10" t="inlineStr"/>
      <c r="D38" s="32" t="inlineStr"/>
      <c r="E38" s="17" t="inlineStr"/>
      <c r="F38" s="10" t="inlineStr"/>
      <c r="G38" s="17" t="inlineStr"/>
      <c r="H38" s="173" t="inlineStr"/>
      <c r="I38" s="17" t="inlineStr"/>
      <c r="J38" s="17" t="inlineStr"/>
      <c r="K38" s="21" t="inlineStr"/>
      <c r="L38" s="174" t="inlineStr"/>
      <c r="M38" s="175" t="inlineStr"/>
    </row>
    <row r="39" ht="27" customHeight="1" s="24">
      <c r="C39" s="10" t="inlineStr"/>
      <c r="D39" s="32" t="inlineStr"/>
      <c r="E39" s="17" t="inlineStr"/>
      <c r="F39" s="10" t="inlineStr"/>
      <c r="G39" s="17" t="inlineStr"/>
      <c r="H39" s="173" t="inlineStr"/>
      <c r="I39" s="17" t="inlineStr"/>
      <c r="J39" s="17" t="inlineStr"/>
      <c r="K39" s="21" t="inlineStr"/>
      <c r="L39" s="174" t="inlineStr"/>
      <c r="M39" s="175" t="inlineStr"/>
    </row>
    <row r="40" ht="27" customHeight="1" s="24">
      <c r="C40" s="10" t="inlineStr"/>
      <c r="D40" s="32" t="inlineStr"/>
      <c r="E40" s="17" t="inlineStr"/>
      <c r="F40" s="10" t="inlineStr"/>
      <c r="G40" s="17" t="inlineStr"/>
      <c r="H40" s="173" t="inlineStr"/>
      <c r="I40" s="17" t="inlineStr"/>
      <c r="J40" s="17" t="inlineStr"/>
      <c r="K40" s="21" t="inlineStr"/>
      <c r="L40" s="174" t="inlineStr"/>
      <c r="M40" s="175" t="inlineStr"/>
    </row>
    <row r="41" ht="27" customHeight="1" s="24">
      <c r="C41" s="176" t="inlineStr"/>
      <c r="D41" s="177" t="inlineStr"/>
      <c r="E41" s="177" t="inlineStr"/>
      <c r="F41" s="178" t="inlineStr"/>
      <c r="G41" s="179" t="inlineStr"/>
      <c r="H41" s="179" t="inlineStr"/>
      <c r="I41" s="179" t="inlineStr"/>
      <c r="J41" s="179" t="inlineStr"/>
      <c r="K41" s="178" t="inlineStr"/>
      <c r="L41" s="16" t="inlineStr"/>
      <c r="M41" s="180" t="inlineStr"/>
    </row>
    <row r="42" ht="27" customHeight="1" s="24">
      <c r="C42" s="181" t="inlineStr"/>
      <c r="D42" s="181" t="inlineStr"/>
      <c r="E42" s="181" t="inlineStr"/>
      <c r="F42" s="178" t="inlineStr"/>
      <c r="G42" s="178" t="inlineStr"/>
      <c r="H42" s="178" t="inlineStr"/>
      <c r="I42" s="178" t="inlineStr"/>
      <c r="J42" s="178" t="inlineStr"/>
      <c r="K42" s="178" t="inlineStr"/>
      <c r="L42" s="16" t="inlineStr"/>
      <c r="M42" s="182" t="inlineStr"/>
    </row>
    <row r="43" ht="27" customHeight="1" s="24">
      <c r="C43" s="181" t="inlineStr"/>
      <c r="D43" s="181" t="inlineStr"/>
      <c r="E43" s="181" t="inlineStr"/>
      <c r="F43" s="183" t="inlineStr"/>
      <c r="G43" s="183" t="inlineStr"/>
      <c r="H43" s="183" t="inlineStr"/>
      <c r="I43" s="183" t="inlineStr"/>
      <c r="J43" s="183" t="inlineStr"/>
      <c r="K43" s="183" t="inlineStr"/>
      <c r="L43" s="16" t="inlineStr"/>
      <c r="M43" s="180" t="inlineStr"/>
    </row>
    <row r="44" ht="27" customHeight="1" s="24">
      <c r="C44" s="60" t="inlineStr">
        <is>
          <t>* Menteşeler Samet Düz*Deve*Frenlidir</t>
        </is>
      </c>
      <c r="D44" s="61" t="n"/>
      <c r="E44" s="60" t="n"/>
      <c r="F44" s="46" t="n"/>
      <c r="G44" s="46" t="n"/>
      <c r="H44" s="46" t="n"/>
      <c r="I44" s="46" t="n"/>
      <c r="J44" s="46" t="n"/>
      <c r="K44" s="46" t="n"/>
      <c r="L44" s="13" t="n"/>
      <c r="M44" s="184" t="n"/>
    </row>
    <row r="45" ht="27" customHeight="1" s="24">
      <c r="C45" s="60" t="inlineStr">
        <is>
          <t xml:space="preserve">* Çekmece Rayları Samet Slide Ahşap Yanaklıdır. </t>
        </is>
      </c>
      <c r="D45" s="60" t="n"/>
      <c r="E45" s="60" t="n"/>
      <c r="F45" s="46" t="n"/>
      <c r="G45" s="46" t="n"/>
      <c r="H45" s="46" t="n"/>
      <c r="I45" s="46" t="n"/>
      <c r="J45" s="46" t="n"/>
      <c r="K45" s="46" t="n"/>
      <c r="L45" s="13" t="n"/>
      <c r="M45" s="184" t="n"/>
    </row>
    <row r="46" ht="27" customHeight="1" s="24">
      <c r="C46" s="60" t="n"/>
      <c r="D46" s="60" t="n"/>
      <c r="E46" s="60" t="n"/>
      <c r="F46" s="46" t="n"/>
      <c r="G46" s="46" t="n"/>
      <c r="H46" s="46" t="n"/>
      <c r="I46" s="46" t="n"/>
      <c r="J46" s="46" t="n"/>
      <c r="K46" s="46" t="n"/>
      <c r="L46" s="13" t="n"/>
      <c r="M46" s="184" t="n"/>
    </row>
    <row r="47" ht="27" customHeight="1" s="24">
      <c r="C47" s="60" t="n"/>
      <c r="D47" s="60" t="n"/>
      <c r="E47" s="60" t="n"/>
      <c r="F47" s="46" t="n"/>
      <c r="G47" s="46" t="n"/>
      <c r="H47" s="46" t="n"/>
      <c r="I47" s="46" t="n"/>
      <c r="J47" s="46" t="n"/>
      <c r="K47" s="46" t="n"/>
      <c r="L47" s="13" t="n"/>
      <c r="M47" s="184" t="n"/>
    </row>
    <row r="48" ht="27" customHeight="1" s="24">
      <c r="C48" s="60" t="n"/>
      <c r="D48" s="60" t="n"/>
      <c r="E48" s="60" t="n"/>
      <c r="F48" s="46" t="n"/>
      <c r="G48" s="46" t="n"/>
      <c r="H48" s="46" t="n"/>
      <c r="I48" s="46" t="n"/>
      <c r="J48" s="46" t="n"/>
      <c r="K48" s="46" t="n"/>
      <c r="L48" s="13" t="n"/>
      <c r="M48" s="184" t="n"/>
    </row>
    <row r="49" ht="27" customHeight="1" s="24">
      <c r="C49" s="60" t="n"/>
      <c r="D49" s="60" t="n"/>
      <c r="E49" s="60" t="n"/>
      <c r="F49" s="46" t="n"/>
      <c r="G49" s="46" t="n"/>
      <c r="H49" s="46" t="n"/>
      <c r="I49" s="46" t="n"/>
      <c r="J49" s="46" t="n"/>
      <c r="K49" s="46" t="n"/>
      <c r="L49" s="13" t="n"/>
      <c r="M49" s="184" t="n"/>
    </row>
    <row r="50" ht="27" customHeight="1" s="24">
      <c r="C50" s="60" t="n"/>
      <c r="D50" s="60" t="n"/>
      <c r="E50" s="60" t="n"/>
      <c r="F50" s="46" t="n"/>
      <c r="G50" s="46" t="n"/>
      <c r="H50" s="46" t="n"/>
      <c r="I50" s="46" t="n"/>
      <c r="J50" s="46" t="n"/>
      <c r="K50" s="46" t="n"/>
      <c r="L50" s="13" t="n"/>
      <c r="M50" s="184" t="n"/>
    </row>
    <row r="51" ht="27" customHeight="1" s="24">
      <c r="C51" s="60" t="n"/>
      <c r="D51" s="60" t="n"/>
      <c r="E51" s="60" t="n"/>
      <c r="F51" s="46" t="n"/>
      <c r="G51" s="46" t="n"/>
      <c r="H51" s="46" t="n"/>
      <c r="I51" s="46" t="n"/>
      <c r="J51" s="46" t="n"/>
      <c r="K51" s="46" t="n"/>
      <c r="L51" s="13" t="n"/>
      <c r="M51" s="184" t="n"/>
    </row>
    <row r="52" ht="27" customHeight="1" s="24">
      <c r="C52" s="60" t="n"/>
      <c r="D52" s="60" t="n"/>
      <c r="E52" s="60" t="n"/>
      <c r="F52" s="46" t="n"/>
      <c r="G52" s="46" t="n"/>
      <c r="H52" s="46" t="n"/>
      <c r="I52" s="46" t="n"/>
      <c r="J52" s="46" t="n"/>
      <c r="K52" s="46" t="n"/>
      <c r="L52" s="13" t="n"/>
      <c r="M52" s="184" t="n"/>
    </row>
    <row r="53" ht="27" customHeight="1" s="24">
      <c r="C53" s="60" t="n"/>
      <c r="D53" s="60" t="n"/>
      <c r="E53" s="60" t="n"/>
      <c r="F53" s="46" t="n"/>
      <c r="G53" s="46" t="n"/>
      <c r="H53" s="46" t="n"/>
      <c r="I53" s="46" t="n"/>
      <c r="J53" s="46" t="n"/>
      <c r="K53" s="46" t="n"/>
      <c r="L53" s="13" t="n"/>
      <c r="M53" s="184" t="n"/>
    </row>
    <row r="54" ht="27" customHeight="1" s="24">
      <c r="C54" s="60" t="n"/>
      <c r="D54" s="60" t="n"/>
      <c r="E54" s="60" t="n"/>
      <c r="F54" s="46" t="n"/>
      <c r="G54" s="46" t="n"/>
      <c r="H54" s="46" t="n"/>
      <c r="I54" s="46" t="n"/>
      <c r="J54" s="46" t="n"/>
      <c r="K54" s="46" t="n"/>
      <c r="L54" s="13" t="n"/>
      <c r="M54" s="184" t="n"/>
    </row>
    <row r="55" ht="27" customHeight="1" s="24">
      <c r="C55" s="60" t="n"/>
      <c r="D55" s="60" t="n"/>
      <c r="E55" s="60" t="n"/>
      <c r="F55" s="46" t="n"/>
      <c r="G55" s="46" t="n"/>
      <c r="H55" s="46" t="n"/>
      <c r="I55" s="46" t="n"/>
      <c r="J55" s="46" t="n"/>
      <c r="K55" s="46" t="n"/>
      <c r="L55" s="13" t="n"/>
      <c r="M55" s="184" t="n"/>
    </row>
    <row r="56" ht="27" customHeight="1" s="24">
      <c r="C56" s="61" t="n"/>
      <c r="D56" s="60" t="n"/>
      <c r="E56" s="60" t="n"/>
      <c r="F56" s="46" t="n"/>
      <c r="G56" s="46" t="n"/>
      <c r="H56" s="46" t="n"/>
      <c r="I56" s="46" t="n"/>
      <c r="J56" s="46" t="n"/>
      <c r="K56" s="46" t="n"/>
      <c r="L56" s="13" t="n"/>
      <c r="M56" s="184" t="n"/>
    </row>
    <row r="57" ht="27" customHeight="1" s="24">
      <c r="C57" s="87" t="inlineStr">
        <is>
          <t>PORTMANTO &amp; GİYİNME DOLAPLARI</t>
        </is>
      </c>
      <c r="M57" s="140" t="n"/>
    </row>
    <row r="58" ht="27" customHeight="1" s="24">
      <c r="C58" s="20" t="inlineStr">
        <is>
          <t>Kod</t>
        </is>
      </c>
      <c r="D58" s="20" t="inlineStr">
        <is>
          <t xml:space="preserve">Satış Birimi </t>
        </is>
      </c>
      <c r="E58" s="20" t="inlineStr">
        <is>
          <t xml:space="preserve">Gövde </t>
        </is>
      </c>
      <c r="F58" s="20" t="inlineStr">
        <is>
          <t>Kapak Renk</t>
        </is>
      </c>
      <c r="G58" s="20" t="inlineStr">
        <is>
          <t>Miktar</t>
        </is>
      </c>
      <c r="H58" s="20" t="inlineStr">
        <is>
          <t xml:space="preserve">Liste Fiyatı </t>
        </is>
      </c>
      <c r="I58" s="20" t="inlineStr">
        <is>
          <t>1-İskonto %</t>
        </is>
      </c>
      <c r="J58" s="20" t="inlineStr">
        <is>
          <t>2-İskonto %</t>
        </is>
      </c>
      <c r="K58" s="20" t="inlineStr">
        <is>
          <t>Birim</t>
        </is>
      </c>
      <c r="L58" s="20" t="inlineStr">
        <is>
          <t xml:space="preserve">Birim Net Fiyatı </t>
        </is>
      </c>
      <c r="M58" s="20" t="inlineStr">
        <is>
          <t xml:space="preserve">Tutar </t>
        </is>
      </c>
    </row>
    <row r="59" ht="27" customHeight="1" s="24">
      <c r="C59" s="10" t="inlineStr"/>
      <c r="D59" s="32" t="inlineStr"/>
      <c r="E59" s="17" t="inlineStr"/>
      <c r="F59" s="10" t="inlineStr"/>
      <c r="G59" s="17" t="inlineStr"/>
      <c r="H59" s="173" t="inlineStr"/>
      <c r="I59" s="17" t="inlineStr"/>
      <c r="J59" s="17" t="inlineStr"/>
      <c r="K59" s="21" t="inlineStr"/>
      <c r="L59" s="174" t="inlineStr"/>
      <c r="M59" s="175" t="inlineStr"/>
    </row>
    <row r="60" ht="27" customHeight="1" s="24">
      <c r="C60" s="10" t="inlineStr"/>
      <c r="D60" s="32" t="inlineStr"/>
      <c r="E60" s="17" t="inlineStr"/>
      <c r="F60" s="10" t="inlineStr"/>
      <c r="G60" s="17" t="inlineStr"/>
      <c r="H60" s="173" t="inlineStr"/>
      <c r="I60" s="17" t="inlineStr"/>
      <c r="J60" s="17" t="inlineStr"/>
      <c r="K60" s="21" t="inlineStr"/>
      <c r="L60" s="174" t="inlineStr"/>
      <c r="M60" s="175" t="inlineStr"/>
    </row>
    <row r="61" ht="27" customHeight="1" s="24">
      <c r="C61" s="10" t="inlineStr"/>
      <c r="D61" s="32" t="inlineStr"/>
      <c r="E61" s="17" t="inlineStr"/>
      <c r="F61" s="10" t="inlineStr"/>
      <c r="G61" s="17" t="inlineStr"/>
      <c r="H61" s="173" t="inlineStr"/>
      <c r="I61" s="17" t="inlineStr"/>
      <c r="J61" s="17" t="inlineStr"/>
      <c r="K61" s="21" t="inlineStr"/>
      <c r="L61" s="174" t="inlineStr"/>
      <c r="M61" s="175" t="inlineStr"/>
    </row>
    <row r="62" ht="27" customHeight="1" s="24">
      <c r="C62" s="176" t="inlineStr"/>
      <c r="D62" s="177" t="inlineStr"/>
      <c r="E62" s="177" t="inlineStr"/>
      <c r="F62" s="178" t="inlineStr"/>
      <c r="G62" s="179" t="inlineStr"/>
      <c r="H62" s="179" t="inlineStr"/>
      <c r="I62" s="179" t="inlineStr"/>
      <c r="J62" s="179" t="inlineStr"/>
      <c r="K62" s="178" t="inlineStr"/>
      <c r="L62" s="16" t="inlineStr"/>
      <c r="M62" s="180" t="inlineStr"/>
    </row>
    <row r="63" ht="27" customHeight="1" s="24">
      <c r="C63" s="181" t="inlineStr"/>
      <c r="D63" s="181" t="inlineStr"/>
      <c r="E63" s="181" t="inlineStr"/>
      <c r="F63" s="178" t="inlineStr"/>
      <c r="G63" s="178" t="inlineStr"/>
      <c r="H63" s="178" t="inlineStr"/>
      <c r="I63" s="178" t="inlineStr"/>
      <c r="J63" s="178" t="inlineStr"/>
      <c r="K63" s="178" t="inlineStr"/>
      <c r="L63" s="16" t="inlineStr"/>
      <c r="M63" s="182" t="inlineStr"/>
    </row>
    <row r="64" ht="27" customHeight="1" s="24">
      <c r="C64" s="181" t="inlineStr"/>
      <c r="D64" s="181" t="inlineStr"/>
      <c r="E64" s="181" t="inlineStr"/>
      <c r="F64" s="183" t="inlineStr"/>
      <c r="G64" s="183" t="inlineStr"/>
      <c r="H64" s="183" t="inlineStr"/>
      <c r="I64" s="183" t="inlineStr"/>
      <c r="J64" s="183" t="inlineStr"/>
      <c r="K64" s="183" t="inlineStr"/>
      <c r="L64" s="16" t="inlineStr"/>
      <c r="M64" s="180" t="inlineStr"/>
    </row>
    <row r="65" ht="27" customHeight="1" s="24">
      <c r="C65" s="60" t="inlineStr">
        <is>
          <t>* Menteşeler Samet Düz*Deve*Frenlidir</t>
        </is>
      </c>
      <c r="D65" s="61" t="n"/>
      <c r="E65" s="60" t="inlineStr">
        <is>
          <t xml:space="preserve">* Portmanto Dolabında Kanca Askı </t>
        </is>
      </c>
      <c r="F65" s="46" t="n"/>
      <c r="G65" s="46" t="n"/>
      <c r="H65" s="46" t="n"/>
      <c r="I65" s="46" t="n"/>
      <c r="J65" s="46" t="n"/>
      <c r="K65" s="46" t="n"/>
      <c r="L65" s="13" t="n"/>
      <c r="M65" s="184" t="n"/>
    </row>
    <row r="66" ht="27" customHeight="1" s="24">
      <c r="C66" s="60" t="inlineStr">
        <is>
          <t xml:space="preserve">* Çekmece Rayları Samet Slide Mandallı </t>
        </is>
      </c>
      <c r="D66" s="60" t="n"/>
      <c r="E66" s="60" t="inlineStr">
        <is>
          <t>*Montaj Hariçtir.</t>
        </is>
      </c>
      <c r="F66" s="46" t="n"/>
      <c r="G66" s="46" t="n"/>
      <c r="H66" s="46" t="n"/>
      <c r="I66" s="46" t="n"/>
      <c r="J66" s="46" t="n"/>
      <c r="K66" s="46" t="n"/>
      <c r="L66" s="13" t="n"/>
      <c r="M66" s="184" t="n"/>
    </row>
    <row r="67" ht="27" customHeight="1" s="24">
      <c r="C67" s="60" t="inlineStr">
        <is>
          <t>* Muhtelif Dolaplar Minifix &amp; Kavela Sistem</t>
        </is>
      </c>
      <c r="D67" s="60" t="n"/>
      <c r="E67" s="60" t="n"/>
      <c r="F67" s="46" t="n"/>
      <c r="G67" s="46" t="n"/>
      <c r="H67" s="46" t="n"/>
      <c r="I67" s="46" t="n"/>
      <c r="J67" s="46" t="n"/>
      <c r="K67" s="46" t="n"/>
      <c r="L67" s="13" t="n"/>
      <c r="M67" s="184" t="n"/>
    </row>
    <row r="68" ht="27" customHeight="1" s="24">
      <c r="D68" s="46" t="n"/>
      <c r="E68" s="46" t="n"/>
      <c r="F68" s="46" t="n"/>
      <c r="G68" s="46" t="n"/>
      <c r="H68" s="46" t="n"/>
      <c r="I68" s="46" t="n"/>
      <c r="J68" s="46" t="n"/>
      <c r="K68" s="46" t="n"/>
      <c r="L68" s="13" t="n"/>
      <c r="M68" s="184" t="n"/>
    </row>
    <row r="69" ht="27" customHeight="1" s="24">
      <c r="C69" s="87" t="inlineStr">
        <is>
          <t>BANYO DOLAPLARI &amp; AKSESUARLAR</t>
        </is>
      </c>
      <c r="M69" s="140" t="n"/>
    </row>
    <row r="70" ht="27" customHeight="1" s="24">
      <c r="C70" s="20" t="inlineStr">
        <is>
          <t>Kod</t>
        </is>
      </c>
      <c r="D70" s="20" t="inlineStr">
        <is>
          <t xml:space="preserve">Satış Birimi </t>
        </is>
      </c>
      <c r="E70" s="20" t="inlineStr">
        <is>
          <t xml:space="preserve">Gövde </t>
        </is>
      </c>
      <c r="F70" s="20" t="inlineStr">
        <is>
          <t>Kapak Renk</t>
        </is>
      </c>
      <c r="G70" s="20" t="inlineStr">
        <is>
          <t>Miktar</t>
        </is>
      </c>
      <c r="H70" s="20" t="inlineStr">
        <is>
          <t xml:space="preserve">Liste Fiyatı </t>
        </is>
      </c>
      <c r="I70" s="20" t="inlineStr">
        <is>
          <t>1-İskonto %</t>
        </is>
      </c>
      <c r="J70" s="20" t="inlineStr">
        <is>
          <t>2-İskonto %</t>
        </is>
      </c>
      <c r="K70" s="20" t="inlineStr">
        <is>
          <t>Birim</t>
        </is>
      </c>
      <c r="L70" s="20" t="inlineStr">
        <is>
          <t xml:space="preserve">Birim Net Fiyatı </t>
        </is>
      </c>
      <c r="M70" s="20" t="inlineStr">
        <is>
          <t xml:space="preserve">Tutar </t>
        </is>
      </c>
    </row>
    <row r="71" ht="27" customHeight="1" s="24">
      <c r="C71" s="10" t="inlineStr"/>
      <c r="D71" s="63" t="inlineStr"/>
      <c r="E71" s="17" t="inlineStr"/>
      <c r="F71" s="10" t="inlineStr"/>
      <c r="G71" s="17" t="inlineStr"/>
      <c r="H71" s="185" t="inlineStr"/>
      <c r="I71" s="17" t="inlineStr"/>
      <c r="J71" s="17" t="inlineStr"/>
      <c r="K71" s="65" t="inlineStr"/>
      <c r="L71" s="174" t="inlineStr"/>
      <c r="M71" s="175" t="inlineStr"/>
    </row>
    <row r="72" ht="27" customHeight="1" s="24">
      <c r="C72" s="10" t="inlineStr"/>
      <c r="D72" s="63" t="inlineStr"/>
      <c r="E72" s="17" t="inlineStr"/>
      <c r="F72" s="10" t="inlineStr"/>
      <c r="G72" s="17" t="inlineStr"/>
      <c r="H72" s="185" t="inlineStr"/>
      <c r="I72" s="17" t="inlineStr"/>
      <c r="J72" s="17" t="inlineStr"/>
      <c r="K72" s="65" t="inlineStr"/>
      <c r="L72" s="174" t="inlineStr"/>
      <c r="M72" s="175" t="inlineStr"/>
    </row>
    <row r="73" ht="27" customHeight="1" s="24">
      <c r="C73" s="10" t="inlineStr"/>
      <c r="D73" s="63" t="inlineStr"/>
      <c r="E73" s="17" t="inlineStr"/>
      <c r="F73" s="10" t="inlineStr"/>
      <c r="G73" s="17" t="inlineStr"/>
      <c r="H73" s="185" t="inlineStr"/>
      <c r="I73" s="17" t="inlineStr"/>
      <c r="J73" s="17" t="inlineStr"/>
      <c r="K73" s="65" t="inlineStr"/>
      <c r="L73" s="174" t="inlineStr"/>
      <c r="M73" s="175" t="inlineStr"/>
    </row>
    <row r="74" ht="27" customHeight="1" s="24">
      <c r="C74" s="176" t="inlineStr"/>
      <c r="D74" s="177" t="inlineStr"/>
      <c r="E74" s="177" t="inlineStr"/>
      <c r="F74" s="178" t="inlineStr"/>
      <c r="G74" s="179" t="inlineStr"/>
      <c r="H74" s="179" t="inlineStr"/>
      <c r="I74" s="179" t="inlineStr"/>
      <c r="J74" s="179" t="inlineStr"/>
      <c r="K74" s="178" t="inlineStr"/>
      <c r="L74" s="16" t="inlineStr"/>
      <c r="M74" s="180" t="inlineStr"/>
    </row>
    <row r="75" ht="27" customHeight="1" s="24">
      <c r="C75" s="181" t="inlineStr"/>
      <c r="D75" s="181" t="inlineStr"/>
      <c r="E75" s="181" t="inlineStr"/>
      <c r="F75" s="178" t="inlineStr"/>
      <c r="G75" s="178" t="inlineStr"/>
      <c r="H75" s="178" t="inlineStr"/>
      <c r="I75" s="178" t="inlineStr"/>
      <c r="J75" s="178" t="inlineStr"/>
      <c r="K75" s="178" t="inlineStr"/>
      <c r="L75" s="16" t="inlineStr"/>
      <c r="M75" s="182" t="inlineStr"/>
    </row>
    <row r="76" ht="27" customHeight="1" s="24">
      <c r="C76" s="181" t="inlineStr"/>
      <c r="D76" s="181" t="inlineStr"/>
      <c r="E76" s="181" t="inlineStr"/>
      <c r="F76" s="183" t="inlineStr"/>
      <c r="G76" s="183" t="inlineStr"/>
      <c r="H76" s="183" t="inlineStr"/>
      <c r="I76" s="183" t="inlineStr"/>
      <c r="J76" s="183" t="inlineStr"/>
      <c r="K76" s="183" t="inlineStr"/>
      <c r="L76" s="16" t="inlineStr"/>
      <c r="M76" s="180" t="inlineStr"/>
    </row>
    <row r="77" ht="27" customHeight="1" s="24">
      <c r="C77" s="60" t="inlineStr">
        <is>
          <t>* Menteşeler Samet Düz*Deve*Frenlidir</t>
        </is>
      </c>
      <c r="D77" s="60" t="n"/>
      <c r="E77" s="60" t="inlineStr">
        <is>
          <t>*Montaj Hariçtir.</t>
        </is>
      </c>
      <c r="F77" s="46" t="n"/>
      <c r="G77" s="46" t="n"/>
      <c r="H77" s="46" t="n"/>
      <c r="I77" s="46" t="n"/>
      <c r="J77" s="46" t="n"/>
      <c r="K77" s="46" t="n"/>
      <c r="L77" s="13" t="n"/>
      <c r="M77" s="184" t="n"/>
    </row>
    <row r="78" ht="27" customHeight="1" s="24">
      <c r="C78" s="60" t="inlineStr">
        <is>
          <t xml:space="preserve">* Çekmece Rayları Samet Slide </t>
        </is>
      </c>
      <c r="D78" s="60" t="n"/>
      <c r="E78" s="60" t="n"/>
      <c r="F78" s="46" t="n"/>
      <c r="G78" s="46" t="n"/>
      <c r="H78" s="46" t="n"/>
      <c r="I78" s="46" t="n"/>
      <c r="J78" s="46" t="n"/>
      <c r="K78" s="46" t="n"/>
      <c r="L78" s="13" t="n"/>
      <c r="M78" s="184" t="n"/>
    </row>
    <row r="79" ht="27" customHeight="1" s="24">
      <c r="C79" s="60" t="inlineStr">
        <is>
          <t>* Minifix &amp; Kavela Sistem</t>
        </is>
      </c>
      <c r="D79" s="60" t="n"/>
      <c r="E79" s="60" t="n"/>
      <c r="F79" s="46" t="n"/>
      <c r="G79" s="46" t="n"/>
      <c r="H79" s="46" t="n"/>
      <c r="I79" s="46" t="n"/>
      <c r="J79" s="46" t="n"/>
      <c r="K79" s="46" t="n"/>
      <c r="L79" s="13" t="n"/>
      <c r="M79" s="184" t="n"/>
    </row>
    <row r="80" ht="27" customHeight="1" s="24">
      <c r="D80" s="46" t="n"/>
      <c r="E80" s="46" t="n"/>
      <c r="F80" s="46" t="n"/>
      <c r="G80" s="46" t="n"/>
      <c r="H80" s="46" t="n"/>
      <c r="I80" s="46" t="n"/>
      <c r="J80" s="46" t="n"/>
      <c r="K80" s="46" t="n"/>
      <c r="L80" s="13" t="n"/>
      <c r="M80" s="184" t="n"/>
    </row>
    <row r="81" ht="27" customHeight="1" s="24" thickBot="1">
      <c r="C81" s="46" t="n"/>
      <c r="D81" s="46" t="n"/>
      <c r="E81" s="46" t="n"/>
      <c r="F81" s="46" t="n"/>
      <c r="G81" s="46" t="n"/>
      <c r="H81" s="46" t="n"/>
      <c r="I81" s="46" t="n"/>
      <c r="J81" s="46" t="n"/>
      <c r="K81" s="46" t="n"/>
      <c r="L81" s="13" t="n"/>
      <c r="M81" s="186" t="n"/>
    </row>
    <row r="82" ht="27" customHeight="1" s="24" thickBot="1">
      <c r="C82" s="187" t="inlineStr"/>
      <c r="D82" s="143" t="n"/>
      <c r="E82" s="46" t="n"/>
      <c r="F82" s="46" t="n"/>
      <c r="G82" s="46" t="n"/>
      <c r="H82" s="46" t="n"/>
      <c r="I82" s="46" t="n"/>
      <c r="J82" s="187" t="inlineStr">
        <is>
          <t>YEKÜN İCMAAL</t>
        </is>
      </c>
      <c r="K82" s="142" t="n"/>
      <c r="L82" s="143" t="n"/>
      <c r="M82" s="186" t="n"/>
    </row>
    <row r="83" ht="27" customHeight="1" s="24">
      <c r="C83" s="40" t="inlineStr">
        <is>
          <t>Teslim Şekli</t>
        </is>
      </c>
      <c r="D83" s="43" t="inlineStr"/>
      <c r="E83" s="46" t="n"/>
      <c r="F83" s="46" t="n"/>
      <c r="G83" s="46" t="n"/>
      <c r="H83" s="46" t="n"/>
      <c r="I83" s="46" t="n"/>
      <c r="J83" s="188" t="inlineStr">
        <is>
          <t xml:space="preserve">MUTFAK GRUBU </t>
        </is>
      </c>
      <c r="K83" s="140" t="n"/>
      <c r="L83" s="189">
        <f>M43</f>
        <v/>
      </c>
      <c r="M83" s="186" t="n"/>
    </row>
    <row r="84" ht="27" customHeight="1" s="24">
      <c r="C84" s="41" t="inlineStr">
        <is>
          <t xml:space="preserve">Ödeme Şekli </t>
        </is>
      </c>
      <c r="D84" s="43" t="inlineStr"/>
      <c r="E84" s="46" t="n"/>
      <c r="F84" s="46" t="n"/>
      <c r="G84" s="46" t="n"/>
      <c r="H84" s="46" t="n"/>
      <c r="I84" s="46" t="n"/>
      <c r="J84" s="190" t="inlineStr">
        <is>
          <t>PORTMANTO GRUBU</t>
        </is>
      </c>
      <c r="K84" s="191" t="n"/>
      <c r="L84" s="192">
        <f>M64</f>
        <v/>
      </c>
      <c r="M84" s="186" t="n"/>
    </row>
    <row r="85" ht="27" customHeight="1" s="24" thickBot="1">
      <c r="C85" s="41" t="inlineStr">
        <is>
          <t>Teslim Süresi</t>
        </is>
      </c>
      <c r="D85" s="43" t="inlineStr"/>
      <c r="E85" s="46" t="n"/>
      <c r="F85" s="46" t="n"/>
      <c r="G85" s="46" t="n"/>
      <c r="H85" s="46" t="n"/>
      <c r="I85" s="46" t="n"/>
      <c r="J85" s="193" t="inlineStr">
        <is>
          <t>BANYO DOLAPLARI</t>
        </is>
      </c>
      <c r="K85" s="194" t="n"/>
      <c r="L85" s="195">
        <f>M76</f>
        <v/>
      </c>
      <c r="M85" s="186" t="n"/>
    </row>
    <row r="86" ht="27" customHeight="1" s="24" thickBot="1">
      <c r="C86" s="41" t="inlineStr">
        <is>
          <t>Montaj Hizmeti</t>
        </is>
      </c>
      <c r="D86" s="43" t="inlineStr"/>
      <c r="E86" s="46" t="n"/>
      <c r="F86" s="46" t="n"/>
      <c r="G86" s="46" t="n"/>
      <c r="H86" s="46" t="n"/>
      <c r="I86" s="46" t="n"/>
      <c r="J86" s="193" t="inlineStr">
        <is>
          <t>YEKÜN</t>
        </is>
      </c>
      <c r="K86" s="194" t="n"/>
      <c r="L86" s="196">
        <f>M76+M64+M43</f>
        <v/>
      </c>
      <c r="M86" s="186" t="n"/>
    </row>
    <row r="87" ht="27" customHeight="1" s="24">
      <c r="C87" s="41" t="inlineStr">
        <is>
          <t>Nakliye</t>
        </is>
      </c>
      <c r="D87" s="43" t="inlineStr"/>
      <c r="E87" s="46" t="n"/>
      <c r="F87" s="46" t="n"/>
      <c r="G87" s="46" t="n"/>
      <c r="H87" s="46" t="n"/>
      <c r="I87" s="46" t="n"/>
      <c r="J87" s="46" t="n"/>
      <c r="K87" s="46" t="n"/>
      <c r="L87" s="13" t="n"/>
      <c r="M87" s="186" t="n"/>
    </row>
    <row r="88" ht="27" customHeight="1" s="24" thickBot="1">
      <c r="C88" s="42" t="inlineStr">
        <is>
          <t xml:space="preserve">Geçerlilik Süresi </t>
        </is>
      </c>
      <c r="D88" s="44" t="inlineStr"/>
      <c r="E88" s="46" t="n"/>
      <c r="F88" s="46" t="n"/>
      <c r="G88" s="46" t="n"/>
      <c r="H88" s="46" t="n"/>
      <c r="I88" s="46" t="n"/>
      <c r="J88" s="46" t="n"/>
      <c r="K88" s="46" t="n"/>
      <c r="L88" s="13" t="n"/>
      <c r="M88" s="186" t="n"/>
    </row>
    <row r="89" ht="27" customHeight="1" s="24">
      <c r="C89" s="46" t="n"/>
      <c r="D89" s="46" t="n"/>
      <c r="E89" s="46" t="n"/>
      <c r="F89" s="46" t="n"/>
      <c r="G89" s="46" t="n"/>
      <c r="H89" s="46" t="n"/>
      <c r="I89" s="46" t="n"/>
      <c r="J89" s="46" t="n"/>
      <c r="K89" s="46" t="n"/>
      <c r="L89" s="13" t="n"/>
      <c r="M89" s="186" t="n"/>
    </row>
    <row r="90" ht="27" customHeight="1" s="24">
      <c r="C90" s="139"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91" ht="27" customHeight="1" s="24">
      <c r="C91" s="87" t="inlineStr">
        <is>
          <t>GENEL ŞARTLAR &amp; TEKLİF NOTLARI</t>
        </is>
      </c>
      <c r="M91" s="140" t="n"/>
    </row>
    <row r="92" ht="27" customHeight="1" s="24">
      <c r="C92" s="70" t="inlineStr">
        <is>
          <t>1-Belirtilen fiyatlara KDV  hariçtir.</t>
        </is>
      </c>
      <c r="D92" s="47" t="n"/>
      <c r="E92" s="47" t="n"/>
      <c r="F92" s="22" t="n"/>
      <c r="G92" s="23" t="n"/>
      <c r="H92" s="23" t="n"/>
      <c r="I92" s="123" t="inlineStr">
        <is>
          <t xml:space="preserve">TEKLİF NOTLARI </t>
        </is>
      </c>
    </row>
    <row r="93" ht="27" customHeight="1" s="24">
      <c r="C93" s="70" t="inlineStr">
        <is>
          <t>2-İşbu teklif, düzenleme tarihinden itibaren ___ gün geçerlidir.</t>
        </is>
      </c>
      <c r="D93" s="47" t="n"/>
      <c r="E93" s="47" t="n"/>
      <c r="F93" s="22" t="n"/>
      <c r="G93" s="23" t="n"/>
      <c r="H93" s="23" t="n"/>
      <c r="I93" s="124" t="inlineStr">
        <is>
          <t>1- Ölçüler Net ölçü üzerinden değerlendirilmiştir.</t>
        </is>
      </c>
      <c r="J93" s="1" t="n"/>
      <c r="K93" s="1" t="n"/>
      <c r="L93" s="1" t="n"/>
      <c r="M93" s="1" t="n"/>
    </row>
    <row r="94" ht="27" customHeight="1" s="24">
      <c r="C94" s="70" t="inlineStr">
        <is>
          <t>3-Ürün ölçü ve model onayı müşteri tarafından teyit edilmeden üretime başlanmaz.</t>
        </is>
      </c>
      <c r="D94" s="47" t="n"/>
      <c r="E94" s="47" t="n"/>
      <c r="F94" s="22" t="n"/>
      <c r="G94" s="23" t="n"/>
      <c r="H94" s="23" t="n"/>
      <c r="I94" s="124" t="inlineStr">
        <is>
          <t xml:space="preserve">2- Üretim Öncesi Teyit alınacaktır </t>
        </is>
      </c>
      <c r="J94" s="1" t="n"/>
      <c r="K94" s="1" t="n"/>
      <c r="L94" s="1" t="n"/>
      <c r="M94" s="1" t="n"/>
    </row>
    <row r="95" ht="27" customHeight="1" s="24">
      <c r="C95" s="70" t="inlineStr">
        <is>
          <t>4-Ödeme şartları teklif üzerinde belirtilen şekilde uygulanacaktır.</t>
        </is>
      </c>
      <c r="D95" s="47" t="n"/>
      <c r="E95" s="47" t="n"/>
      <c r="F95" s="22" t="n"/>
      <c r="G95" s="23" t="n"/>
      <c r="H95" s="23" t="n"/>
      <c r="I95" s="124" t="inlineStr">
        <is>
          <t>3-</t>
        </is>
      </c>
      <c r="J95" s="1" t="n"/>
      <c r="K95" s="1" t="n"/>
      <c r="L95" s="1" t="n"/>
      <c r="M95" s="1" t="n"/>
    </row>
    <row r="96" ht="27" customHeight="1" s="24">
      <c r="C96" s="70" t="inlineStr">
        <is>
          <t>5-Montaj ve teslim süreleri (varsa) sipariş onayı ve ödeme planına göre planlanacaktır.</t>
        </is>
      </c>
      <c r="D96" s="47" t="n"/>
      <c r="E96" s="47" t="n"/>
      <c r="F96" s="22" t="n"/>
      <c r="G96" s="23" t="n"/>
      <c r="H96" s="23" t="n"/>
      <c r="I96" s="124" t="inlineStr">
        <is>
          <t>4-</t>
        </is>
      </c>
      <c r="J96" s="1" t="n"/>
      <c r="K96" s="1" t="n"/>
      <c r="L96" s="1" t="n"/>
      <c r="M96" s="1" t="n"/>
    </row>
    <row r="97" ht="27" customHeight="1" s="24">
      <c r="C97" s="22" t="n"/>
      <c r="D97" s="47" t="n"/>
      <c r="E97" s="47" t="n"/>
      <c r="F97" s="22" t="n"/>
      <c r="G97" s="46" t="n"/>
      <c r="H97" s="46" t="n"/>
      <c r="I97" s="133" t="n"/>
      <c r="J97" s="1" t="n"/>
      <c r="K97" s="1" t="n"/>
      <c r="L97" s="1" t="n"/>
      <c r="M97" s="1" t="n"/>
    </row>
    <row r="98" ht="27" customHeight="1" s="24">
      <c r="C98" s="87" t="inlineStr">
        <is>
          <t xml:space="preserve">FİRMA UNVANLARI &amp; İBANLAR </t>
        </is>
      </c>
      <c r="M98" s="140" t="n"/>
    </row>
    <row r="99" ht="27" customHeight="1" s="24" thickBot="1">
      <c r="C99" s="122" t="n"/>
    </row>
    <row r="100" ht="27" customHeight="1" s="24">
      <c r="C100" s="197" t="inlineStr">
        <is>
          <t>ORTKA YAPI ELEMANLARI ÜRETİM SAN.LTD.ŞTİ TL</t>
        </is>
      </c>
      <c r="D100" s="147" t="n"/>
      <c r="E100" s="198" t="n"/>
      <c r="J100" s="140" t="n"/>
      <c r="K100" s="197" t="inlineStr">
        <is>
          <t>AYKA KAPI SANAYİ TİCARET ANONİM ŞİRKETİ TL</t>
        </is>
      </c>
      <c r="L100" s="146" t="n"/>
      <c r="M100" s="147" t="n"/>
      <c r="N100" s="169" t="inlineStr"/>
    </row>
    <row r="101" ht="27" customHeight="1" s="24">
      <c r="C101" s="25" t="inlineStr">
        <is>
          <t>Türkiye İş Bankası</t>
        </is>
      </c>
      <c r="D101" s="51" t="inlineStr">
        <is>
          <t>TR24 0006 4000 0018 6003 9367 45</t>
        </is>
      </c>
      <c r="E101" s="151" t="n"/>
      <c r="J101" s="140" t="n"/>
      <c r="K101" s="25" t="inlineStr">
        <is>
          <t>Garanti BBVA Bankası</t>
        </is>
      </c>
      <c r="M101" s="51" t="inlineStr">
        <is>
          <t>TR14 0006 2000 1120 0006 2913 29</t>
        </is>
      </c>
      <c r="N101" s="169" t="inlineStr"/>
    </row>
    <row r="102" ht="27" customHeight="1" s="24">
      <c r="C102" s="25" t="inlineStr">
        <is>
          <t xml:space="preserve">Ziraat Bankası </t>
        </is>
      </c>
      <c r="D102" s="51" t="inlineStr">
        <is>
          <t>TR07 0001 0021 6935 0399 4450 09</t>
        </is>
      </c>
      <c r="E102" s="151" t="n"/>
      <c r="J102" s="140" t="n"/>
      <c r="K102" s="25" t="inlineStr">
        <is>
          <t>Ziraat Bankası</t>
        </is>
      </c>
      <c r="M102" s="51" t="inlineStr">
        <is>
          <t>TR72 0001 0021 6994 2088 8850 01</t>
        </is>
      </c>
      <c r="N102" s="169" t="inlineStr"/>
    </row>
    <row r="103" ht="27" customHeight="1" s="24">
      <c r="C103" s="25" t="inlineStr">
        <is>
          <t>Albaraka Türk K.Bank</t>
        </is>
      </c>
      <c r="D103" s="51" t="inlineStr">
        <is>
          <t>TR66 0020 3000 0056 3735 0000 02</t>
        </is>
      </c>
      <c r="E103" s="151" t="n"/>
      <c r="J103" s="140" t="n"/>
      <c r="K103" s="25" t="inlineStr">
        <is>
          <t>Albaraka Türk K.Bank.</t>
        </is>
      </c>
      <c r="M103" s="51" t="inlineStr">
        <is>
          <t>TR25 0020 3000 0770 5276 0000 01</t>
        </is>
      </c>
      <c r="N103" s="169" t="inlineStr"/>
    </row>
    <row r="104" ht="27" customHeight="1" s="24" thickBot="1">
      <c r="C104" s="26" t="inlineStr">
        <is>
          <t xml:space="preserve">Vakıflar Bankası </t>
        </is>
      </c>
      <c r="D104" s="52" t="inlineStr">
        <is>
          <t>TR57 0001 5001 5800 7284 2692 06</t>
        </is>
      </c>
      <c r="E104" s="151" t="n"/>
      <c r="J104" s="140" t="n"/>
      <c r="K104" s="26" t="inlineStr"/>
      <c r="L104" s="155" t="n"/>
      <c r="M104" s="52" t="inlineStr"/>
      <c r="N104" s="169" t="inlineStr"/>
    </row>
    <row r="105" ht="27" customHeight="1" s="24">
      <c r="C105" s="23" t="n"/>
      <c r="D105" s="23" t="n"/>
      <c r="E105" s="23" t="n"/>
      <c r="F105" s="23" t="n"/>
    </row>
    <row r="106" ht="27" customHeight="1" s="24" thickBot="1">
      <c r="C106" s="87" t="inlineStr">
        <is>
          <t xml:space="preserve">TARAFLARIN KAŞE İMZASI </t>
        </is>
      </c>
      <c r="M106" s="140" t="n"/>
    </row>
    <row r="107" ht="27" customHeight="1" s="24" thickBot="1">
      <c r="C107" s="187" t="inlineStr">
        <is>
          <t xml:space="preserve">AYKA KAPI ADINA İMZA </t>
        </is>
      </c>
      <c r="D107" s="143" t="n"/>
      <c r="J107" s="187">
        <f>D23</f>
        <v/>
      </c>
      <c r="K107" s="142" t="n"/>
      <c r="L107" s="142" t="n"/>
      <c r="M107" s="143" t="n"/>
    </row>
    <row r="108" ht="27" customHeight="1" s="24"/>
    <row r="109" ht="27" customHeight="1" s="24"/>
    <row r="110" ht="27" customHeight="1" s="24"/>
    <row r="111" ht="27" customHeight="1" s="24"/>
    <row r="112" ht="27" customHeight="1" s="24"/>
    <row r="113" ht="27" customHeight="1" s="24"/>
    <row r="114" ht="27" customHeight="1" s="24"/>
    <row r="115" ht="27" customHeight="1" s="24"/>
    <row r="116" ht="27" customHeight="1" s="24"/>
    <row r="117" ht="27" customHeight="1" s="24"/>
    <row r="118" ht="27" customHeight="1" s="24"/>
  </sheetData>
  <sheetProtection selectLockedCells="1" selectUnlockedCells="0" algorithmName="SHA-512" sheet="1" objects="0" insertRows="1" insertHyperlinks="1" autoFilter="1" scenarios="0" formatColumns="1" deleteColumns="1" insertColumns="1" pivotTables="1" deleteRows="1" formatCells="1" saltValue="xAJycoC2Ntm+J6wU2kb7rg==" formatRows="1" sort="1" spinCount="100000" hashValue="2N/G9LGZVDQvYtNySJW5b7wWyTOLEFWSnLXTzozIpmjhBbOuAUuaUoDblrn2rtBi5zKpcoBBvszlK8eEsxoL/Q=="/>
  <mergeCells count="53">
    <mergeCell ref="C69:M69"/>
    <mergeCell ref="E16:J19"/>
    <mergeCell ref="I95:M95"/>
    <mergeCell ref="C15:M15"/>
    <mergeCell ref="C107:D107"/>
    <mergeCell ref="K104:L104"/>
    <mergeCell ref="D30:M30"/>
    <mergeCell ref="D25:M25"/>
    <mergeCell ref="C28:M28"/>
    <mergeCell ref="C98:M98"/>
    <mergeCell ref="D24:M24"/>
    <mergeCell ref="C18:D18"/>
    <mergeCell ref="J84:K84"/>
    <mergeCell ref="D33:M33"/>
    <mergeCell ref="D23:M23"/>
    <mergeCell ref="C100:D100"/>
    <mergeCell ref="C16:D16"/>
    <mergeCell ref="C29:M29"/>
    <mergeCell ref="D26:M26"/>
    <mergeCell ref="I97:M97"/>
    <mergeCell ref="C99:M99"/>
    <mergeCell ref="J83:K83"/>
    <mergeCell ref="K17:M17"/>
    <mergeCell ref="C22:M22"/>
    <mergeCell ref="I93:M93"/>
    <mergeCell ref="K102:L102"/>
    <mergeCell ref="I96:M96"/>
    <mergeCell ref="J86:K86"/>
    <mergeCell ref="K19:M19"/>
    <mergeCell ref="I92:M92"/>
    <mergeCell ref="C12:M12"/>
    <mergeCell ref="C34:M35"/>
    <mergeCell ref="J85:K85"/>
    <mergeCell ref="C90:M90"/>
    <mergeCell ref="B15:B27"/>
    <mergeCell ref="K18:M18"/>
    <mergeCell ref="C36:M36"/>
    <mergeCell ref="E100:J104"/>
    <mergeCell ref="K16:M16"/>
    <mergeCell ref="C17:D17"/>
    <mergeCell ref="J82:L82"/>
    <mergeCell ref="J107:M107"/>
    <mergeCell ref="D27:M27"/>
    <mergeCell ref="C106:M106"/>
    <mergeCell ref="C91:M91"/>
    <mergeCell ref="C82:D82"/>
    <mergeCell ref="C20:M21"/>
    <mergeCell ref="K101:L101"/>
    <mergeCell ref="K103:L103"/>
    <mergeCell ref="C19:D19"/>
    <mergeCell ref="C57:M57"/>
    <mergeCell ref="I94:M94"/>
    <mergeCell ref="K100:M100"/>
  </mergeCells>
  <dataValidations count="2">
    <dataValidation sqref="I38:I40 I59:I61 I71:I73" showDropDown="0" showInputMessage="1" showErrorMessage="1" allowBlank="0" type="whole">
      <formula1>0</formula1>
      <formula2>50</formula2>
    </dataValidation>
    <dataValidation sqref="J38:J40 J59:J61 J71:J73"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63"/>
  <sheetViews>
    <sheetView workbookViewId="0">
      <selection activeCell="B7" sqref="B7"/>
    </sheetView>
  </sheetViews>
  <sheetFormatPr baseColWidth="8" defaultRowHeight="15"/>
  <cols>
    <col width="27.5703125" customWidth="1" style="24" min="1" max="1"/>
    <col width="54.85546875" customWidth="1" style="24" min="2" max="2"/>
    <col width="14" customWidth="1" style="24" min="3" max="3"/>
    <col width="9.140625" customWidth="1" style="24" min="4" max="16384"/>
  </cols>
  <sheetData>
    <row r="1">
      <c r="A1" s="37" t="inlineStr">
        <is>
          <t xml:space="preserve">kod </t>
        </is>
      </c>
      <c r="B1" s="37" t="inlineStr">
        <is>
          <t>ürün adı</t>
        </is>
      </c>
      <c r="C1" t="inlineStr">
        <is>
          <t xml:space="preserve">birim fiyatı </t>
        </is>
      </c>
    </row>
    <row r="2">
      <c r="A2" t="inlineStr">
        <is>
          <t>152.44.0001</t>
        </is>
      </c>
      <c r="B2" t="inlineStr">
        <is>
          <t xml:space="preserve">Mdflam Gövde Beyaz-Kapak Mdflam Beyaz Metre </t>
        </is>
      </c>
      <c r="C2" s="200" t="n">
        <v>5725.88</v>
      </c>
    </row>
    <row r="3">
      <c r="A3" t="inlineStr">
        <is>
          <t>152.44.0002</t>
        </is>
      </c>
      <c r="B3" t="inlineStr">
        <is>
          <t xml:space="preserve">Mdflam Gövde Beyaz-Kapak Mdflam Renkli Metre </t>
        </is>
      </c>
      <c r="C3" s="200" t="n">
        <v>5855.47</v>
      </c>
    </row>
    <row r="4">
      <c r="A4" t="inlineStr">
        <is>
          <t>152.44.0003</t>
        </is>
      </c>
      <c r="B4" t="inlineStr">
        <is>
          <t xml:space="preserve">Mdflam Gövde Beyaz-Kapak Hıghgloss Beyaz Metre </t>
        </is>
      </c>
      <c r="C4" s="200" t="n">
        <v>6396.34</v>
      </c>
    </row>
    <row r="5">
      <c r="A5" t="inlineStr">
        <is>
          <t>152.44.0004</t>
        </is>
      </c>
      <c r="B5" t="inlineStr">
        <is>
          <t xml:space="preserve">Mdflam Gövde Beyaz-Kapak Hıghgloss Renkli Metre </t>
        </is>
      </c>
      <c r="C5" s="200" t="n">
        <v>6561.23</v>
      </c>
    </row>
    <row r="6">
      <c r="A6" t="inlineStr">
        <is>
          <t>152.44.0008</t>
        </is>
      </c>
      <c r="B6" t="inlineStr">
        <is>
          <t xml:space="preserve">Mdflam Gövde Beyaz-Kapak Acrilik Beyaz Metre </t>
        </is>
      </c>
      <c r="C6" s="200" t="n">
        <v>7230.39</v>
      </c>
    </row>
    <row r="7">
      <c r="A7" t="inlineStr">
        <is>
          <t>152.44.0009</t>
        </is>
      </c>
      <c r="B7" t="inlineStr">
        <is>
          <t xml:space="preserve">Mdflam Gövde Beyaz-Kapak u Acrilik Renkli Metre </t>
        </is>
      </c>
      <c r="C7" s="200" t="n">
        <v>7788.02</v>
      </c>
    </row>
    <row r="8">
      <c r="A8" t="inlineStr">
        <is>
          <t>152.44.0005</t>
        </is>
      </c>
      <c r="B8" t="inlineStr">
        <is>
          <t xml:space="preserve">Mdflam Gövde Beyaz-Kapak Membran Motifsiz Metre </t>
        </is>
      </c>
      <c r="C8" s="200" t="n">
        <v>6765.19</v>
      </c>
    </row>
    <row r="9">
      <c r="A9" t="inlineStr">
        <is>
          <t>152.44.0006</t>
        </is>
      </c>
      <c r="B9" t="inlineStr">
        <is>
          <t>Mdflam Gövde Beyaz-Kapak Membran Motifli Metre</t>
        </is>
      </c>
      <c r="C9" s="200" t="n">
        <v>7479.59</v>
      </c>
    </row>
    <row r="10">
      <c r="A10" t="inlineStr">
        <is>
          <t>152.44.0012</t>
        </is>
      </c>
      <c r="B10" t="inlineStr">
        <is>
          <t>Mdflam Gövde Beyaz-Kapak Lake Motifsiz Metre</t>
        </is>
      </c>
      <c r="C10" s="200" t="n">
        <v>9070.700000000001</v>
      </c>
    </row>
    <row r="11">
      <c r="A11" t="inlineStr">
        <is>
          <t>152.44.0013</t>
        </is>
      </c>
      <c r="B11" t="inlineStr">
        <is>
          <t>Mdflam Gövde Beyaz-Kapak Lake Motifli Metre</t>
        </is>
      </c>
      <c r="C11" s="200" t="n">
        <v>9432.309999999999</v>
      </c>
    </row>
    <row r="12">
      <c r="C12" s="200" t="n"/>
    </row>
    <row r="13">
      <c r="C13" s="200" t="n"/>
    </row>
    <row r="14">
      <c r="C14" s="200" t="n"/>
    </row>
    <row r="15">
      <c r="C15" s="200" t="n"/>
    </row>
    <row r="16">
      <c r="C16" s="200" t="n"/>
    </row>
    <row r="17">
      <c r="C17" s="200" t="n"/>
    </row>
    <row r="18">
      <c r="C18" s="200" t="n"/>
    </row>
    <row r="19">
      <c r="C19" s="200" t="n"/>
    </row>
    <row r="20">
      <c r="C20" s="200" t="n"/>
    </row>
    <row r="21">
      <c r="C21" s="200" t="n"/>
    </row>
    <row r="22">
      <c r="C22" s="200" t="n"/>
    </row>
    <row r="23">
      <c r="C23" s="200" t="n"/>
    </row>
    <row r="24">
      <c r="C24" s="200" t="n"/>
    </row>
    <row r="25">
      <c r="C25" s="200" t="n"/>
    </row>
    <row r="26">
      <c r="C26" s="200" t="n"/>
    </row>
    <row r="27">
      <c r="C27" s="200" t="n"/>
    </row>
    <row r="28">
      <c r="C28" s="200" t="n"/>
    </row>
    <row r="29">
      <c r="C29" s="200" t="n"/>
    </row>
    <row r="30">
      <c r="C30" s="200" t="n"/>
    </row>
    <row r="31">
      <c r="C31" s="200" t="n"/>
    </row>
    <row r="32">
      <c r="C32" s="200" t="n"/>
    </row>
    <row r="33">
      <c r="C33" s="200" t="n"/>
    </row>
    <row r="34">
      <c r="C34" s="200" t="n"/>
    </row>
    <row r="35">
      <c r="C35" s="200" t="n"/>
    </row>
    <row r="36">
      <c r="C36" s="200" t="n"/>
    </row>
    <row r="37">
      <c r="C37" s="200" t="n"/>
    </row>
    <row r="38">
      <c r="C38" s="200" t="n"/>
    </row>
    <row r="39">
      <c r="C39" s="200" t="n"/>
    </row>
    <row r="40">
      <c r="C40" s="200" t="n"/>
    </row>
    <row r="41">
      <c r="C41" s="200" t="n"/>
    </row>
    <row r="42">
      <c r="C42" s="200" t="n"/>
    </row>
    <row r="43">
      <c r="C43" s="200" t="n"/>
    </row>
    <row r="44">
      <c r="C44" s="200" t="n"/>
    </row>
    <row r="45">
      <c r="C45" s="200" t="n"/>
    </row>
    <row r="46">
      <c r="C46" s="200" t="n"/>
    </row>
    <row r="47">
      <c r="C47" s="200" t="n"/>
    </row>
    <row r="48">
      <c r="C48" s="200" t="n"/>
    </row>
    <row r="49">
      <c r="C49" s="200" t="n"/>
    </row>
    <row r="50">
      <c r="C50" s="200" t="n"/>
    </row>
    <row r="51">
      <c r="C51" s="200" t="n"/>
    </row>
    <row r="52">
      <c r="C52" s="200" t="n"/>
    </row>
    <row r="53">
      <c r="C53" s="200" t="n"/>
    </row>
    <row r="54">
      <c r="C54" s="200" t="n"/>
    </row>
    <row r="55">
      <c r="C55" s="200" t="n"/>
    </row>
    <row r="56">
      <c r="C56" s="200" t="n"/>
    </row>
    <row r="57">
      <c r="C57" s="200" t="n"/>
    </row>
    <row r="58">
      <c r="C58" s="200" t="n"/>
    </row>
    <row r="59">
      <c r="C59" s="200" t="n"/>
    </row>
    <row r="60">
      <c r="C60" s="200" t="n"/>
    </row>
    <row r="61">
      <c r="C61" s="200" t="n"/>
    </row>
    <row r="62">
      <c r="C62" s="200" t="n"/>
    </row>
    <row r="63">
      <c r="C63" s="200" t="n"/>
    </row>
  </sheetData>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C21"/>
  <sheetViews>
    <sheetView workbookViewId="0">
      <selection activeCell="B5" sqref="B5"/>
    </sheetView>
  </sheetViews>
  <sheetFormatPr baseColWidth="8" defaultRowHeight="15"/>
  <cols>
    <col width="11.140625" bestFit="1" customWidth="1" style="24" min="1" max="1"/>
    <col width="46.28515625" bestFit="1" customWidth="1" style="24" min="2" max="2"/>
    <col width="13.7109375" customWidth="1" style="24" min="3" max="3"/>
  </cols>
  <sheetData>
    <row r="1">
      <c r="A1" t="inlineStr">
        <is>
          <t>kod</t>
        </is>
      </c>
      <c r="B1" t="inlineStr">
        <is>
          <t xml:space="preserve">ürün adı </t>
        </is>
      </c>
      <c r="C1" t="inlineStr">
        <is>
          <t xml:space="preserve">birim fiyatı </t>
        </is>
      </c>
    </row>
    <row r="2">
      <c r="A2" t="inlineStr">
        <is>
          <t>152.44.0100</t>
        </is>
      </c>
      <c r="B2" t="inlineStr">
        <is>
          <t xml:space="preserve">Mdflam Gövde Beyaz-Kapak Mdflam Beyaz m² </t>
        </is>
      </c>
      <c r="C2" s="200" t="n">
        <v>6286.48</v>
      </c>
    </row>
    <row r="3">
      <c r="A3" t="inlineStr">
        <is>
          <t>152.44.0101</t>
        </is>
      </c>
      <c r="B3" t="inlineStr">
        <is>
          <t xml:space="preserve">Mdflam Gövde Beyaz-Kapak Mdflam Renkli m² </t>
        </is>
      </c>
      <c r="C3" s="200" t="n">
        <v>6519.41</v>
      </c>
    </row>
    <row r="4">
      <c r="A4" t="inlineStr">
        <is>
          <t>152.44.0102</t>
        </is>
      </c>
      <c r="B4" t="inlineStr">
        <is>
          <t>Mdflam Gövde Beyaz-Kapak Hıghgloss Beyaz m²</t>
        </is>
      </c>
      <c r="C4" s="200" t="n">
        <v>7491.63</v>
      </c>
    </row>
    <row r="5">
      <c r="A5" t="inlineStr">
        <is>
          <t>152.44.0103</t>
        </is>
      </c>
      <c r="B5" t="inlineStr">
        <is>
          <t>Mdflam Gövde Beyaz-Kapak Hıghgloss Renkli m²</t>
        </is>
      </c>
      <c r="C5" s="200" t="n">
        <v>7788.02</v>
      </c>
    </row>
    <row r="6">
      <c r="A6" t="inlineStr">
        <is>
          <t>152.44.0107</t>
        </is>
      </c>
      <c r="B6" t="inlineStr">
        <is>
          <t>Mdflam Gövde Beyaz-Kapak Acrilik Beyaz m²</t>
        </is>
      </c>
      <c r="C6" s="200" t="n">
        <v>8990.83</v>
      </c>
    </row>
    <row r="7">
      <c r="A7" t="inlineStr">
        <is>
          <t>152.44.0107</t>
        </is>
      </c>
      <c r="B7" t="inlineStr">
        <is>
          <t>Mdflam Gövde Beyaz-Kapak u Acrilik Renkli m²</t>
        </is>
      </c>
      <c r="C7" s="200" t="n">
        <v>9993.17</v>
      </c>
    </row>
    <row r="8">
      <c r="A8" t="inlineStr">
        <is>
          <t>152.44.0104</t>
        </is>
      </c>
      <c r="B8" t="inlineStr">
        <is>
          <t>Mdflam Gövde Beyaz-Kapak Membran Motifsiz m²</t>
        </is>
      </c>
      <c r="C8" s="200" t="n">
        <v>8154.63</v>
      </c>
    </row>
    <row r="9">
      <c r="A9" t="inlineStr">
        <is>
          <t>152.44.0105</t>
        </is>
      </c>
      <c r="B9" t="inlineStr">
        <is>
          <t>Mdflam Gövde Beyaz-Kapak Membran Motifli m²</t>
        </is>
      </c>
      <c r="C9" s="200" t="n">
        <v>9438.77</v>
      </c>
    </row>
    <row r="10">
      <c r="A10" t="inlineStr">
        <is>
          <t>152.44.0111</t>
        </is>
      </c>
      <c r="B10" t="inlineStr">
        <is>
          <t>Mdflam Gövde Beyaz-Kapak Lake Motifsiz m²</t>
        </is>
      </c>
      <c r="C10" s="200" t="n">
        <v>12298.77</v>
      </c>
    </row>
    <row r="11">
      <c r="A11" t="inlineStr">
        <is>
          <t>152.44.0112</t>
        </is>
      </c>
      <c r="B11" t="inlineStr">
        <is>
          <t>Mdflam Gövde Beyaz-Kapak Lake Motifli m²</t>
        </is>
      </c>
      <c r="C11" s="200" t="n">
        <v>12948.77</v>
      </c>
    </row>
    <row r="12">
      <c r="A12" t="inlineStr">
        <is>
          <t>152.44.0200</t>
        </is>
      </c>
      <c r="B12" t="inlineStr">
        <is>
          <t xml:space="preserve">Mdflam Gövde Beyaz-Kapak Mdflam Beyaz m² </t>
        </is>
      </c>
      <c r="C12" s="200" t="n">
        <v>7857.5</v>
      </c>
    </row>
    <row r="13">
      <c r="A13" t="inlineStr">
        <is>
          <t>152.44.0201</t>
        </is>
      </c>
      <c r="B13" t="inlineStr">
        <is>
          <t xml:space="preserve">Mdflam Gövde Beyaz-Kapak Mdflam Renkli m² </t>
        </is>
      </c>
      <c r="C13" s="200" t="n">
        <v>8149.26</v>
      </c>
    </row>
    <row r="14">
      <c r="A14" t="inlineStr">
        <is>
          <t>152.44.0202</t>
        </is>
      </c>
      <c r="B14" t="inlineStr">
        <is>
          <t>Mdflam Gövde Beyaz-Kapak Hıghgloss Beyaz m²</t>
        </is>
      </c>
      <c r="C14" s="200" t="n">
        <v>9364.530000000001</v>
      </c>
    </row>
    <row r="15">
      <c r="A15" t="inlineStr">
        <is>
          <t>152.44.0203</t>
        </is>
      </c>
      <c r="B15" t="inlineStr">
        <is>
          <t>Mdflam Gövde Beyaz-Kapak Hıghgloss Renkli m²</t>
        </is>
      </c>
      <c r="C15" s="200" t="n">
        <v>9735</v>
      </c>
    </row>
    <row r="16">
      <c r="A16" t="inlineStr">
        <is>
          <t>152.44.0204</t>
        </is>
      </c>
      <c r="B16" t="inlineStr">
        <is>
          <t>Mdflam Gövde Beyaz-Kapak Acrilik Beyaz m²</t>
        </is>
      </c>
      <c r="C16" s="200" t="n">
        <v>11237.5</v>
      </c>
    </row>
    <row r="17">
      <c r="A17" t="inlineStr">
        <is>
          <t>152.44.0205</t>
        </is>
      </c>
      <c r="B17" t="inlineStr">
        <is>
          <t>Mdflam Gövde Beyaz-Kapak u Acrilik Renkli m²</t>
        </is>
      </c>
      <c r="C17" s="200" t="n">
        <v>12491.25</v>
      </c>
    </row>
    <row r="18">
      <c r="A18" t="inlineStr">
        <is>
          <t>152.44.0206</t>
        </is>
      </c>
      <c r="B18" t="inlineStr">
        <is>
          <t>Mdflam Gövde Beyaz-Kapak Membran Motifsiz m²</t>
        </is>
      </c>
      <c r="C18" s="200" t="n">
        <v>10192.55</v>
      </c>
    </row>
    <row r="19">
      <c r="A19" t="inlineStr">
        <is>
          <t>152.44.0207</t>
        </is>
      </c>
      <c r="B19" t="inlineStr">
        <is>
          <t>Mdflam Gövde Beyaz-Kapak Membran Motifli m²</t>
        </is>
      </c>
      <c r="C19" s="200" t="n">
        <v>11798.46</v>
      </c>
    </row>
    <row r="20">
      <c r="A20" t="inlineStr">
        <is>
          <t>152.44.0208</t>
        </is>
      </c>
      <c r="B20" t="inlineStr">
        <is>
          <t>Mdflam Gövde Beyaz-Kapak Lake Motifsiz m²</t>
        </is>
      </c>
      <c r="C20" s="200" t="n">
        <v>15372.5</v>
      </c>
    </row>
    <row r="21">
      <c r="A21" t="inlineStr">
        <is>
          <t>152.44.0209</t>
        </is>
      </c>
      <c r="B21" t="inlineStr">
        <is>
          <t>Mdflam Gövde Beyaz-Kapak Lake Motifli m²</t>
        </is>
      </c>
      <c r="C21" s="200" t="n">
        <v>16185</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2026-04-12T23:59:19Z</dcterms:modified>
</cp:coreProperties>
</file>